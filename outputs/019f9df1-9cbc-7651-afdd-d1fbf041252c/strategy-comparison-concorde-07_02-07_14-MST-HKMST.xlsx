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860"/>
  </bookViews>
  <sheets>
    <sheet name="实例对比" sheetId="1" r:id="rId1"/>
    <sheet name="HKMST相对基线" sheetId="2" r:id="rId2"/>
    <sheet name="版本说明" sheetId="3" r:id="rId3"/>
  </sheets>
  <definedNames>
    <definedName name="_xlnm.Print_Titles" localSheetId="0">实例对比!$1:$5</definedName>
    <definedName name="_xlnm.Print_Area" localSheetId="0">实例对比!$A$1:$Q$47</definedName>
    <definedName name="_xlnm.Print_Titles" localSheetId="1">HKMST相对基线!$1:$5</definedName>
    <definedName name="_xlnm.Print_Area" localSheetId="1">HKMST相对基线!$A$1:$P$47</definedName>
    <definedName name="_xlnm.Print_Titles" localSheetId="2">版本说明!$1:$3</definedName>
    <definedName name="_xlnm.Print_Area" localSheetId="2">版本说明!$A$1:$H$19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E4" authorId="0">
      <text>
        <r>
          <rPr>
            <sz val="10"/>
            <rFont val="宋体"/>
            <charset val="134"/>
          </rPr>
          <t>精确求解器对照。原始记录来自 comparison-cache.json 顶层 concorde。</t>
        </r>
      </text>
    </comment>
    <comment ref="G4" authorId="0">
      <text>
        <r>
          <rPr>
            <sz val="10"/>
            <rFont val="宋体"/>
            <charset val="134"/>
          </rPr>
          <t>缓存键：tsp_bb_26_07_14_deg
来源：docs/comparison-cache.json / solver_results 与 solver_timeouts</t>
        </r>
      </text>
    </comment>
    <comment ref="J4" authorId="0">
      <text>
        <r>
          <rPr>
            <sz val="10"/>
            <rFont val="宋体"/>
            <charset val="134"/>
          </rPr>
          <t>缓存键：tsp_bb_07-26-MST
来源：docs/comparison-cache.json / solver_results 与 solver_timeouts</t>
        </r>
      </text>
    </comment>
    <comment ref="N4" authorId="0">
      <text>
        <r>
          <rPr>
            <sz val="10"/>
            <rFont val="宋体"/>
            <charset val="134"/>
          </rPr>
          <t>缓存键：tsp_bb_07-26-HKMST
来源：docs/comparison-cache.json / solver_results 与 solver_timeouts</t>
        </r>
      </text>
    </comment>
    <comment ref="L5" authorId="0">
      <text>
        <r>
          <rPr>
            <sz val="10"/>
            <rFont val="宋体"/>
            <charset val="134"/>
          </rPr>
          <t>公式：MST elapsed / 07_14_deg elapsed − 1。负值表示 MST 比 07_14_deg 更快；仅两者都有耗时时计算。</t>
        </r>
      </text>
    </comment>
    <comment ref="P5" authorId="0">
      <text>
        <r>
          <rPr>
            <sz val="10"/>
            <rFont val="宋体"/>
            <charset val="134"/>
          </rPr>
          <t>公式：HKMST elapsed / Concorde elapsed − 1。负值表示 HKMST 比 Concorde 更快；仅两者都有耗时时计算。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E4" authorId="0">
      <text>
        <r>
          <rPr>
            <sz val="10"/>
            <rFont val="宋体"/>
            <charset val="134"/>
          </rPr>
          <t>基准：tsp_bb_07-26-MST；目标：tsp_bb_07-26-HKMST。Δ% = 目标 / 基准 − 1。</t>
        </r>
      </text>
    </comment>
    <comment ref="K4" authorId="0">
      <text>
        <r>
          <rPr>
            <sz val="10"/>
            <rFont val="宋体"/>
            <charset val="134"/>
          </rPr>
          <t>基准：Concorde；目标：tsp_bb_07-26-HKMST。此组只比较耗时与完成状态。</t>
        </r>
      </text>
    </comment>
    <comment ref="G5" authorId="0">
      <text>
        <r>
          <rPr>
            <sz val="10"/>
            <rFont val="宋体"/>
            <charset val="134"/>
          </rPr>
          <t>时间 Δ% = HKMST 时间 / 07-26-MST 时间 − 1；负值表示 HKMST 更快。仅两者都有耗时时计算。</t>
        </r>
      </text>
    </comment>
    <comment ref="J5" authorId="0">
      <text>
        <r>
          <rPr>
            <sz val="10"/>
            <rFont val="宋体"/>
            <charset val="134"/>
          </rPr>
          <t>节点 Δ% = HKMST Expanded / 07-26-MST Expanded − 1；负值表示 HKMST 展开节点更少。</t>
        </r>
      </text>
    </comment>
    <comment ref="M5" authorId="0">
      <text>
        <r>
          <rPr>
            <sz val="10"/>
            <rFont val="宋体"/>
            <charset val="134"/>
          </rPr>
          <t>时间 Δ% = HKMST 时间 / Concorde 时间 − 1；负值表示 HKMST 更快。仅两者都完成时有可比结果。</t>
        </r>
      </text>
    </comment>
    <comment ref="P5" authorId="0">
      <text>
        <r>
          <rPr>
            <sz val="10"/>
            <rFont val="宋体"/>
            <charset val="134"/>
          </rPr>
          <t>只有 Concorde 与 HKMST 均为“完成”时给出速度结论；否则显示“不可比”。Concorde bbnodes 与 tsp_bb Expanded 口径不同，未计算节点 Δ%。</t>
        </r>
      </text>
    </comment>
  </commentList>
</comments>
</file>

<file path=xl/sharedStrings.xml><?xml version="1.0" encoding="utf-8"?>
<sst xmlns="http://schemas.openxmlformats.org/spreadsheetml/2006/main" count="430" uniqueCount="120">
  <si>
    <t>TSP 求解器逐实例策略对比</t>
  </si>
  <si>
    <t>数据源：docs/comparison-cache.json；时间统一为秒；Expanded 为展开节点数。MST 相对 07_14_deg Δ% = MST 时间 / 07_14_deg 时间 − 1；HKMST 相对 Concorde Δ% = HKMST 时间 / Concorde 时间 − 1。负值表示目标版本更快；“超时”和“缺失”均不以 0 代替。</t>
  </si>
  <si>
    <t>实例</t>
  </si>
  <si>
    <t>n</t>
  </si>
  <si>
    <t>数据集</t>
  </si>
  <si>
    <t>最优成本</t>
  </si>
  <si>
    <t>Concorde</t>
  </si>
  <si>
    <t>07_14_deg
tsp_bb_26_07_14_deg</t>
  </si>
  <si>
    <t>MST
tsp_bb_07-26-MST</t>
  </si>
  <si>
    <t>HKMST
tsp_bb_07-26-HKMST</t>
  </si>
  <si>
    <t>状态</t>
  </si>
  <si>
    <t>时间 (s)</t>
  </si>
  <si>
    <t>Expanded</t>
  </si>
  <si>
    <t>相对 07_14_deg Δ%</t>
  </si>
  <si>
    <t>相对 Concorde Δ%</t>
  </si>
  <si>
    <t>burma14</t>
  </si>
  <si>
    <t>TSPLIB</t>
  </si>
  <si>
    <t>完成</t>
  </si>
  <si>
    <t>ulysses16</t>
  </si>
  <si>
    <t>gr17</t>
  </si>
  <si>
    <t>gr21</t>
  </si>
  <si>
    <t>gr24</t>
  </si>
  <si>
    <t>fri26</t>
  </si>
  <si>
    <t>bayg29</t>
  </si>
  <si>
    <t>bays29</t>
  </si>
  <si>
    <t>wi29</t>
  </si>
  <si>
    <t>National TSP</t>
  </si>
  <si>
    <t>dj38</t>
  </si>
  <si>
    <t>dantzig42</t>
  </si>
  <si>
    <t>超时</t>
  </si>
  <si>
    <t>swiss42</t>
  </si>
  <si>
    <t>att48</t>
  </si>
  <si>
    <t>gr48</t>
  </si>
  <si>
    <t>hk48</t>
  </si>
  <si>
    <t>eil51</t>
  </si>
  <si>
    <t>缺失</t>
  </si>
  <si>
    <t>berlin52</t>
  </si>
  <si>
    <t>brazil58</t>
  </si>
  <si>
    <t>st70</t>
  </si>
  <si>
    <t>eil76</t>
  </si>
  <si>
    <t>pr76</t>
  </si>
  <si>
    <t>gr96</t>
  </si>
  <si>
    <t>rat99</t>
  </si>
  <si>
    <t>kroA100</t>
  </si>
  <si>
    <t>kroB100</t>
  </si>
  <si>
    <t>kroC100</t>
  </si>
  <si>
    <t>kroD100</t>
  </si>
  <si>
    <t>kroE100</t>
  </si>
  <si>
    <t>rd100</t>
  </si>
  <si>
    <t>eil101</t>
  </si>
  <si>
    <t>lin105</t>
  </si>
  <si>
    <t>pr107</t>
  </si>
  <si>
    <t>gr120</t>
  </si>
  <si>
    <t>pr124</t>
  </si>
  <si>
    <t>bier127</t>
  </si>
  <si>
    <t>ch130</t>
  </si>
  <si>
    <t>xqf131</t>
  </si>
  <si>
    <t>vlsi</t>
  </si>
  <si>
    <t>pr136</t>
  </si>
  <si>
    <t>gr137</t>
  </si>
  <si>
    <t>pr144</t>
  </si>
  <si>
    <t>ch150</t>
  </si>
  <si>
    <t>kroA150</t>
  </si>
  <si>
    <t>07-26-HKMST 相对 07-26-MST 与 Concorde 的逐实例变化</t>
  </si>
  <si>
    <t>E:J 对比 HKMST 与 07-26-MST 的耗时和 Expanded；K:P 对比 HKMST 与 Concorde 的耗时与完成状态。Δ% = HKMST / 基准 − 1；负值表示 HKMST 更快。Concorde 的 branch-and-cut 节点与 tsp_bb Expanded 口径不同，不作节点 Δ% 比较。</t>
  </si>
  <si>
    <t>07-26-HKMST vs 07-26-MST
tsp_bb_07-26-HKMST / tsp_bb_07-26-MST</t>
  </si>
  <si>
    <t>07-26-HKMST vs Concorde
tsp_bb_07-26-HKMST / concorde</t>
  </si>
  <si>
    <t>MST 时间 (s)</t>
  </si>
  <si>
    <t>HKMST 时间 (s)</t>
  </si>
  <si>
    <t>时间 Δ%</t>
  </si>
  <si>
    <t>MST Expanded</t>
  </si>
  <si>
    <t>HKMST Expanded</t>
  </si>
  <si>
    <t>节点 Δ%</t>
  </si>
  <si>
    <t>Concorde 时间 (s)</t>
  </si>
  <si>
    <t>Concorde 状态</t>
  </si>
  <si>
    <t>HKMST 状态</t>
  </si>
  <si>
    <t>对比结论</t>
  </si>
  <si>
    <t>版本说明、覆盖情况与计算口径</t>
  </si>
  <si>
    <t>覆盖统计基于三个 tsp_bb 版本（07_14_deg、07-26-MST、07-26-HKMST）在 comparison-cache.json 中的结果与超时记录并集；Concorde 对同一实例集合提供精确对照。</t>
  </si>
  <si>
    <t>显示名称</t>
  </si>
  <si>
    <t>缓存键</t>
  </si>
  <si>
    <t>Branch Strategy</t>
  </si>
  <si>
    <t>Edge Selection</t>
  </si>
  <si>
    <t>势 / 下界</t>
  </si>
  <si>
    <t>concorde</t>
  </si>
  <si>
    <t>Branch-and-cut</t>
  </si>
  <si>
    <t>Concorde 内部策略</t>
  </si>
  <si>
    <t>LP / cutting planes</t>
  </si>
  <si>
    <t>07_14_deg</t>
  </si>
  <si>
    <t>tsp_bb_26_07_14_deg</t>
  </si>
  <si>
    <t>BP（multi-child）</t>
  </si>
  <si>
    <t>度数违规顶点 + 最便宜树边</t>
  </si>
  <si>
    <t>增量 1-tree</t>
  </si>
  <si>
    <t>MST</t>
  </si>
  <si>
    <t>tsp_bb_07-26-MST</t>
  </si>
  <si>
    <t>BP（07-26 MST）</t>
  </si>
  <si>
    <t>MST 分支与动态 replacement</t>
  </si>
  <si>
    <t>MST / 1-tree 下界</t>
  </si>
  <si>
    <t>HKMST</t>
  </si>
  <si>
    <t>tsp_bb_07-26-HKMST</t>
  </si>
  <si>
    <t>最大化收益 BP</t>
  </si>
  <si>
    <t>HK 势更新后进行分支适配</t>
  </si>
  <si>
    <t>Held–Karp 势 + 动态 MST</t>
  </si>
  <si>
    <t>口径与来源</t>
  </si>
  <si>
    <t>数据源</t>
  </si>
  <si>
    <t>docs/comparison-cache.json</t>
  </si>
  <si>
    <t>实例集合</t>
  </si>
  <si>
    <t>三个 tsp_bb 版本结果/超时记录的并集，共 42 个实例。</t>
  </si>
  <si>
    <t>缓存顶层 concorde；用于最优成本与精确求解耗时对照。</t>
  </si>
  <si>
    <t>耗时</t>
  </si>
  <si>
    <t>直接使用缓存 elapsed，单位为秒；未进行跨机器校准。</t>
  </si>
  <si>
    <t>直接使用缓存 nodes_expanded，作为分支树规模代理。</t>
  </si>
  <si>
    <t>Δ% 公式</t>
  </si>
  <si>
    <t>“实例对比”页：MST / 07_14_deg − 1，HKMST / Concorde − 1；“HKMST相对基线”页：HKMST / 07-26-MST 或 Concorde − 1。负值表示目标版本更快或展开节点更少。</t>
  </si>
  <si>
    <t>solver_timeouts 为 true，或结果记录 timeout 为 true。</t>
  </si>
  <si>
    <t>该版本既没有完成结果，也没有明确超时记录；不以 0 代替。</t>
  </si>
  <si>
    <t>成本校验</t>
  </si>
  <si>
    <t>已完成结果与 Concorde 最优成本对比，不一致记录数：0。</t>
  </si>
  <si>
    <t>生成日期</t>
  </si>
  <si>
    <t>2026-07-26（Asia/Shanghai）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</si>
</sst>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###"/>
    <numFmt numFmtId="177" formatCode="0.000000"/>
    <numFmt numFmtId="178" formatCode="0.000"/>
    <numFmt numFmtId="179" formatCode="0.0%;\-0.0%"/>
  </numFmts>
  <fonts count="27">
    <font>
      <sz val="11"/>
      <color theme="1"/>
      <name val="宋体"/>
      <charset val="134"/>
      <scheme val="minor"/>
    </font>
    <font>
      <b/>
      <sz val="16"/>
      <color rgb="FFFFFFFF"/>
      <name val="Aptos Display"/>
      <charset val="134"/>
    </font>
    <font>
      <sz val="10"/>
      <color rgb="FF203864"/>
      <name val="Aptos"/>
      <charset val="134"/>
    </font>
    <font>
      <b/>
      <sz val="9"/>
      <color rgb="FFFFFFFF"/>
      <name val="Aptos"/>
      <charset val="134"/>
    </font>
    <font>
      <sz val="9"/>
      <color rgb="FF000000"/>
      <name val="Aptos"/>
      <charset val="134"/>
    </font>
    <font>
      <b/>
      <sz val="10"/>
      <color rgb="FFFFFFFF"/>
      <name val="Aptos"/>
      <charset val="134"/>
    </font>
    <font>
      <b/>
      <sz val="9"/>
      <color rgb="FF203864"/>
      <name val="Apto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008C9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3" borderId="6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7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15" fillId="14" borderId="9">
      <alignment vertical="center"/>
    </xf>
    <xf numFmtId="0" fontId="16" fillId="15" borderId="10">
      <alignment vertical="center"/>
    </xf>
    <xf numFmtId="0" fontId="17" fillId="15" borderId="9">
      <alignment vertical="center"/>
    </xf>
    <xf numFmtId="0" fontId="18" fillId="16" borderId="11">
      <alignment vertical="center"/>
    </xf>
    <xf numFmtId="0" fontId="19" fillId="0" borderId="12">
      <alignment vertical="center"/>
    </xf>
    <xf numFmtId="0" fontId="20" fillId="0" borderId="13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5" fillId="37" borderId="0">
      <alignment vertical="center"/>
    </xf>
    <xf numFmtId="0" fontId="25" fillId="38" borderId="0">
      <alignment vertical="center"/>
    </xf>
    <xf numFmtId="0" fontId="24" fillId="39" borderId="0">
      <alignment vertical="center"/>
    </xf>
    <xf numFmtId="0" fontId="24" fillId="40" borderId="0">
      <alignment vertical="center"/>
    </xf>
    <xf numFmtId="0" fontId="25" fillId="41" borderId="0">
      <alignment vertical="center"/>
    </xf>
    <xf numFmtId="0" fontId="25" fillId="42" borderId="0">
      <alignment vertical="center"/>
    </xf>
    <xf numFmtId="0" fontId="24" fillId="43" borderId="0">
      <alignment vertical="center"/>
    </xf>
  </cellStyleXfs>
  <cellXfs count="4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/>
    <xf numFmtId="1" fontId="4" fillId="5" borderId="2" xfId="0" applyNumberFormat="1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8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6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76" fontId="4" fillId="0" borderId="2" xfId="0" applyNumberFormat="1" applyFont="1" applyBorder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3" fillId="9" borderId="1" xfId="0" applyFont="1" applyFill="1" applyBorder="1" applyAlignment="1">
      <alignment horizontal="center" vertical="center" wrapText="1"/>
    </xf>
    <xf numFmtId="177" fontId="4" fillId="7" borderId="2" xfId="0" applyNumberFormat="1" applyFont="1" applyFill="1" applyBorder="1" applyAlignment="1">
      <alignment vertical="center"/>
    </xf>
    <xf numFmtId="10" fontId="4" fillId="7" borderId="2" xfId="0" applyNumberFormat="1" applyFont="1" applyFill="1" applyBorder="1" applyAlignment="1">
      <alignment vertical="center"/>
    </xf>
    <xf numFmtId="3" fontId="4" fillId="7" borderId="2" xfId="0" applyNumberFormat="1" applyFont="1" applyFill="1" applyBorder="1" applyAlignment="1">
      <alignment vertical="center"/>
    </xf>
    <xf numFmtId="0" fontId="0" fillId="0" borderId="5" xfId="0" applyBorder="1"/>
    <xf numFmtId="0" fontId="5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77" fontId="4" fillId="8" borderId="2" xfId="0" applyNumberFormat="1" applyFont="1" applyFill="1" applyBorder="1" applyAlignment="1">
      <alignment vertical="center"/>
    </xf>
    <xf numFmtId="10" fontId="4" fillId="8" borderId="2" xfId="0" applyNumberFormat="1" applyFont="1" applyFill="1" applyBorder="1" applyAlignment="1">
      <alignment vertical="center"/>
    </xf>
    <xf numFmtId="49" fontId="4" fillId="8" borderId="2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178" fontId="4" fillId="5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178" fontId="4" fillId="6" borderId="2" xfId="0" applyNumberFormat="1" applyFont="1" applyFill="1" applyBorder="1" applyAlignment="1">
      <alignment vertical="center"/>
    </xf>
    <xf numFmtId="3" fontId="4" fillId="6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178" fontId="4" fillId="7" borderId="2" xfId="0" applyNumberFormat="1" applyFont="1" applyFill="1" applyBorder="1" applyAlignment="1">
      <alignment vertical="center"/>
    </xf>
    <xf numFmtId="179" fontId="4" fillId="7" borderId="2" xfId="0" applyNumberFormat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/>
    </xf>
    <xf numFmtId="178" fontId="4" fillId="8" borderId="2" xfId="0" applyNumberFormat="1" applyFont="1" applyFill="1" applyBorder="1" applyAlignment="1">
      <alignment vertical="center"/>
    </xf>
    <xf numFmtId="179" fontId="4" fillId="8" borderId="2" xfId="0" applyNumberFormat="1" applyFont="1" applyFill="1" applyBorder="1" applyAlignment="1">
      <alignment vertical="center"/>
    </xf>
    <xf numFmtId="3" fontId="4" fillId="8" borderId="2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fgColor rgb="FFE2F0D9"/>
        </patternFill>
      </fill>
    </dxf>
    <dxf>
      <font>
        <color rgb="FF9C0006"/>
      </font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VariantDefinitions" displayName="VariantDefinitions" ref="A3:H7">
  <autoFilter xmlns:etc="http://www.wps.cn/officeDocument/2017/etCustomData" ref="A3:H7" etc:filterBottomFollowUsedRange="0"/>
  <tableColumns count="8">
    <tableColumn id="1" name="显示名称"/>
    <tableColumn id="2" name="缓存键"/>
    <tableColumn id="3" name="Branch Strategy"/>
    <tableColumn id="4" name="Edge Selection"/>
    <tableColumn id="5" name="势 / 下界"/>
    <tableColumn id="6" name="完成"/>
    <tableColumn id="7" name="超时"/>
    <tableColumn id="8" name="缺失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7"/>
  <sheetViews>
    <sheetView showGridLines="0" tabSelected="1" workbookViewId="0">
      <pane xSplit="6" ySplit="5" topLeftCell="G6" activePane="bottomRight" state="frozen"/>
      <selection/>
      <selection pane="topRight"/>
      <selection pane="bottomLeft"/>
      <selection pane="bottomRight" activeCell="S13" sqref="S13"/>
    </sheetView>
  </sheetViews>
  <sheetFormatPr defaultColWidth="9" defaultRowHeight="16.8"/>
  <cols>
    <col min="1" max="1" width="16" customWidth="1"/>
    <col min="2" max="2" width="7" customWidth="1"/>
    <col min="3" max="3" width="14" customWidth="1"/>
    <col min="4" max="4" width="15" customWidth="1"/>
    <col min="5" max="5" width="10" customWidth="1"/>
    <col min="6" max="6" width="13" customWidth="1"/>
    <col min="7" max="7" width="10" customWidth="1"/>
    <col min="8" max="8" width="13" customWidth="1"/>
    <col min="9" max="9" width="15" customWidth="1"/>
    <col min="10" max="10" width="10" customWidth="1"/>
    <col min="11" max="11" width="13" customWidth="1"/>
    <col min="12" max="12" width="17" customWidth="1"/>
    <col min="13" max="13" width="15" customWidth="1"/>
    <col min="14" max="14" width="10" customWidth="1"/>
    <col min="15" max="15" width="13" customWidth="1"/>
    <col min="16" max="16" width="17" customWidth="1"/>
    <col min="17" max="17" width="15" customWidth="1"/>
  </cols>
  <sheetData>
    <row r="1" ht="30" customHeight="1" spans="1:1">
      <c r="A1" s="1" t="s">
        <v>0</v>
      </c>
    </row>
    <row r="2" ht="42" customHeight="1" spans="1:1">
      <c r="A2" s="2" t="s">
        <v>1</v>
      </c>
    </row>
    <row r="3" ht="8" customHeight="1"/>
    <row r="4" ht="36" customHeight="1" spans="1:17">
      <c r="A4" s="3" t="s">
        <v>2</v>
      </c>
      <c r="B4" s="3" t="s">
        <v>3</v>
      </c>
      <c r="C4" s="3" t="s">
        <v>4</v>
      </c>
      <c r="D4" s="3" t="s">
        <v>5</v>
      </c>
      <c r="E4" s="33" t="s">
        <v>6</v>
      </c>
      <c r="F4" s="27"/>
      <c r="G4" s="34" t="s">
        <v>7</v>
      </c>
      <c r="H4" s="22"/>
      <c r="I4" s="27"/>
      <c r="J4" s="21" t="s">
        <v>8</v>
      </c>
      <c r="K4" s="22"/>
      <c r="L4" s="22"/>
      <c r="M4" s="27"/>
      <c r="N4" s="28" t="s">
        <v>9</v>
      </c>
      <c r="O4" s="22"/>
      <c r="P4" s="22"/>
      <c r="Q4" s="27"/>
    </row>
    <row r="5" ht="32" customHeight="1" spans="1:17">
      <c r="A5" s="16"/>
      <c r="B5" s="16"/>
      <c r="C5" s="16"/>
      <c r="D5" s="16"/>
      <c r="E5" s="35" t="s">
        <v>10</v>
      </c>
      <c r="F5" s="35" t="s">
        <v>11</v>
      </c>
      <c r="G5" s="36" t="s">
        <v>10</v>
      </c>
      <c r="H5" s="36" t="s">
        <v>11</v>
      </c>
      <c r="I5" s="36" t="s">
        <v>12</v>
      </c>
      <c r="J5" s="23" t="s">
        <v>10</v>
      </c>
      <c r="K5" s="23" t="s">
        <v>11</v>
      </c>
      <c r="L5" s="23" t="s">
        <v>13</v>
      </c>
      <c r="M5" s="23" t="s">
        <v>12</v>
      </c>
      <c r="N5" s="29" t="s">
        <v>10</v>
      </c>
      <c r="O5" s="29" t="s">
        <v>11</v>
      </c>
      <c r="P5" s="29" t="s">
        <v>14</v>
      </c>
      <c r="Q5" s="29" t="s">
        <v>12</v>
      </c>
    </row>
    <row r="6" ht="23" customHeight="1" spans="1:17">
      <c r="A6" s="17" t="s">
        <v>15</v>
      </c>
      <c r="B6" s="18">
        <v>14</v>
      </c>
      <c r="C6" s="19" t="s">
        <v>16</v>
      </c>
      <c r="D6" s="20">
        <v>3323</v>
      </c>
      <c r="E6" s="37" t="s">
        <v>17</v>
      </c>
      <c r="F6" s="38">
        <v>0.0237165987491608</v>
      </c>
      <c r="G6" s="39" t="s">
        <v>17</v>
      </c>
      <c r="H6" s="40">
        <v>0.0337120238691568</v>
      </c>
      <c r="I6" s="41">
        <v>4582</v>
      </c>
      <c r="J6" s="42" t="s">
        <v>17</v>
      </c>
      <c r="K6" s="43">
        <v>0.0221390761435032</v>
      </c>
      <c r="L6" s="44">
        <f t="shared" ref="L6:L47" si="0">IF(OR(K6="",H6=""),"",K6/H6-1)</f>
        <v>-0.343288429391559</v>
      </c>
      <c r="M6" s="26">
        <v>3889</v>
      </c>
      <c r="N6" s="45" t="s">
        <v>17</v>
      </c>
      <c r="O6" s="46">
        <v>0.0130537264049053</v>
      </c>
      <c r="P6" s="47">
        <f t="shared" ref="P6:P47" si="1">IF(OR(O6="",F6=""),"",O6/F6-1)</f>
        <v>-0.449595342782143</v>
      </c>
      <c r="Q6" s="48">
        <v>0</v>
      </c>
    </row>
    <row r="7" ht="23" customHeight="1" spans="1:17">
      <c r="A7" s="17" t="s">
        <v>18</v>
      </c>
      <c r="B7" s="18">
        <v>16</v>
      </c>
      <c r="C7" s="19" t="s">
        <v>16</v>
      </c>
      <c r="D7" s="20">
        <v>6859</v>
      </c>
      <c r="E7" s="37" t="s">
        <v>17</v>
      </c>
      <c r="F7" s="38">
        <v>0.0449027791619301</v>
      </c>
      <c r="G7" s="39" t="s">
        <v>17</v>
      </c>
      <c r="H7" s="40">
        <v>16.253641648218</v>
      </c>
      <c r="I7" s="41">
        <v>3883908</v>
      </c>
      <c r="J7" s="42" t="s">
        <v>17</v>
      </c>
      <c r="K7" s="43">
        <v>5.99226351268589</v>
      </c>
      <c r="L7" s="44">
        <f t="shared" si="0"/>
        <v>-0.631327942231158</v>
      </c>
      <c r="M7" s="26">
        <v>3294071</v>
      </c>
      <c r="N7" s="45" t="s">
        <v>17</v>
      </c>
      <c r="O7" s="46">
        <v>0.0153503194451332</v>
      </c>
      <c r="P7" s="47">
        <f t="shared" si="1"/>
        <v>-0.658143221162853</v>
      </c>
      <c r="Q7" s="48">
        <v>0</v>
      </c>
    </row>
    <row r="8" ht="23" customHeight="1" spans="1:17">
      <c r="A8" s="17" t="s">
        <v>19</v>
      </c>
      <c r="B8" s="18">
        <v>17</v>
      </c>
      <c r="C8" s="19" t="s">
        <v>16</v>
      </c>
      <c r="D8" s="20">
        <v>2085</v>
      </c>
      <c r="E8" s="37" t="s">
        <v>17</v>
      </c>
      <c r="F8" s="38">
        <v>0.0272781308740377</v>
      </c>
      <c r="G8" s="39" t="s">
        <v>17</v>
      </c>
      <c r="H8" s="40">
        <v>2.94292964600027</v>
      </c>
      <c r="I8" s="41">
        <v>463820</v>
      </c>
      <c r="J8" s="42" t="s">
        <v>17</v>
      </c>
      <c r="K8" s="43">
        <v>0.780585145577788</v>
      </c>
      <c r="L8" s="44">
        <f t="shared" si="0"/>
        <v>-0.734759155170875</v>
      </c>
      <c r="M8" s="26">
        <v>396116</v>
      </c>
      <c r="N8" s="45" t="s">
        <v>17</v>
      </c>
      <c r="O8" s="46">
        <v>0.00854879431426525</v>
      </c>
      <c r="P8" s="47">
        <f t="shared" si="1"/>
        <v>-0.686606301812208</v>
      </c>
      <c r="Q8" s="48">
        <v>0</v>
      </c>
    </row>
    <row r="9" ht="23" customHeight="1" spans="1:17">
      <c r="A9" s="17" t="s">
        <v>20</v>
      </c>
      <c r="B9" s="18">
        <v>21</v>
      </c>
      <c r="C9" s="19" t="s">
        <v>16</v>
      </c>
      <c r="D9" s="20">
        <v>2707</v>
      </c>
      <c r="E9" s="37" t="s">
        <v>17</v>
      </c>
      <c r="F9" s="38">
        <v>0.0137806758284569</v>
      </c>
      <c r="G9" s="39" t="s">
        <v>17</v>
      </c>
      <c r="H9" s="40">
        <v>0.101989826187491</v>
      </c>
      <c r="I9" s="41">
        <v>11193</v>
      </c>
      <c r="J9" s="42" t="s">
        <v>17</v>
      </c>
      <c r="K9" s="43">
        <v>0.0344352051615715</v>
      </c>
      <c r="L9" s="44">
        <f t="shared" si="0"/>
        <v>-0.662366272707748</v>
      </c>
      <c r="M9" s="26">
        <v>8885</v>
      </c>
      <c r="N9" s="45" t="s">
        <v>17</v>
      </c>
      <c r="O9" s="46">
        <v>0.0122367888689041</v>
      </c>
      <c r="P9" s="47">
        <f t="shared" si="1"/>
        <v>-0.112032746345045</v>
      </c>
      <c r="Q9" s="48">
        <v>0</v>
      </c>
    </row>
    <row r="10" ht="23" customHeight="1" spans="1:17">
      <c r="A10" s="17" t="s">
        <v>21</v>
      </c>
      <c r="B10" s="18">
        <v>24</v>
      </c>
      <c r="C10" s="19" t="s">
        <v>16</v>
      </c>
      <c r="D10" s="20">
        <v>1272</v>
      </c>
      <c r="E10" s="37" t="s">
        <v>17</v>
      </c>
      <c r="F10" s="38">
        <v>0.0181316826492548</v>
      </c>
      <c r="G10" s="39" t="s">
        <v>17</v>
      </c>
      <c r="H10" s="40">
        <v>1.28854534588754</v>
      </c>
      <c r="I10" s="41">
        <v>158396</v>
      </c>
      <c r="J10" s="42" t="s">
        <v>17</v>
      </c>
      <c r="K10" s="43">
        <v>0.305167468264699</v>
      </c>
      <c r="L10" s="44">
        <f t="shared" si="0"/>
        <v>-0.763169011289624</v>
      </c>
      <c r="M10" s="26">
        <v>127733</v>
      </c>
      <c r="N10" s="45" t="s">
        <v>17</v>
      </c>
      <c r="O10" s="46">
        <v>0.015574662014842</v>
      </c>
      <c r="P10" s="47">
        <f t="shared" si="1"/>
        <v>-0.141025004897595</v>
      </c>
      <c r="Q10" s="48">
        <v>0</v>
      </c>
    </row>
    <row r="11" ht="23" customHeight="1" spans="1:17">
      <c r="A11" s="17" t="s">
        <v>22</v>
      </c>
      <c r="B11" s="18">
        <v>26</v>
      </c>
      <c r="C11" s="19" t="s">
        <v>16</v>
      </c>
      <c r="D11" s="20">
        <v>937</v>
      </c>
      <c r="E11" s="37" t="s">
        <v>17</v>
      </c>
      <c r="F11" s="38">
        <v>0.0273999776691198</v>
      </c>
      <c r="G11" s="39" t="s">
        <v>17</v>
      </c>
      <c r="H11" s="40">
        <v>2.14362771995366</v>
      </c>
      <c r="I11" s="41">
        <v>265361</v>
      </c>
      <c r="J11" s="42" t="s">
        <v>17</v>
      </c>
      <c r="K11" s="43">
        <v>0.524094237014651</v>
      </c>
      <c r="L11" s="44">
        <f t="shared" si="0"/>
        <v>-0.755510608425058</v>
      </c>
      <c r="M11" s="26">
        <v>210001</v>
      </c>
      <c r="N11" s="45" t="s">
        <v>17</v>
      </c>
      <c r="O11" s="46">
        <v>0.019281517714262</v>
      </c>
      <c r="P11" s="47">
        <f t="shared" si="1"/>
        <v>-0.296294400415057</v>
      </c>
      <c r="Q11" s="48">
        <v>0</v>
      </c>
    </row>
    <row r="12" ht="23" customHeight="1" spans="1:17">
      <c r="A12" s="17" t="s">
        <v>23</v>
      </c>
      <c r="B12" s="18">
        <v>29</v>
      </c>
      <c r="C12" s="19" t="s">
        <v>16</v>
      </c>
      <c r="D12" s="20">
        <v>1610</v>
      </c>
      <c r="E12" s="37" t="s">
        <v>17</v>
      </c>
      <c r="F12" s="38">
        <v>0.0176264084875584</v>
      </c>
      <c r="G12" s="39" t="s">
        <v>17</v>
      </c>
      <c r="H12" s="40">
        <v>38.6015456877649</v>
      </c>
      <c r="I12" s="41">
        <v>3624699</v>
      </c>
      <c r="J12" s="42" t="s">
        <v>17</v>
      </c>
      <c r="K12" s="43">
        <v>6.94694629870355</v>
      </c>
      <c r="L12" s="44">
        <f t="shared" si="0"/>
        <v>-0.820034504449767</v>
      </c>
      <c r="M12" s="26">
        <v>2894751</v>
      </c>
      <c r="N12" s="45" t="s">
        <v>17</v>
      </c>
      <c r="O12" s="46">
        <v>0.0159984864294529</v>
      </c>
      <c r="P12" s="47">
        <f t="shared" si="1"/>
        <v>-0.0923569914571405</v>
      </c>
      <c r="Q12" s="48">
        <v>3</v>
      </c>
    </row>
    <row r="13" ht="23" customHeight="1" spans="1:17">
      <c r="A13" s="17" t="s">
        <v>24</v>
      </c>
      <c r="B13" s="18">
        <v>29</v>
      </c>
      <c r="C13" s="19" t="s">
        <v>16</v>
      </c>
      <c r="D13" s="20">
        <v>2020</v>
      </c>
      <c r="E13" s="37" t="s">
        <v>17</v>
      </c>
      <c r="F13" s="38">
        <v>0.0331052578985691</v>
      </c>
      <c r="G13" s="39" t="s">
        <v>17</v>
      </c>
      <c r="H13" s="40">
        <v>487.539575427771</v>
      </c>
      <c r="I13" s="41">
        <v>43913157</v>
      </c>
      <c r="J13" s="42" t="s">
        <v>17</v>
      </c>
      <c r="K13" s="43">
        <v>90.0654285382479</v>
      </c>
      <c r="L13" s="44">
        <f t="shared" si="0"/>
        <v>-0.815265399820673</v>
      </c>
      <c r="M13" s="26">
        <v>35485849</v>
      </c>
      <c r="N13" s="45" t="s">
        <v>17</v>
      </c>
      <c r="O13" s="46">
        <v>0.017220551148057</v>
      </c>
      <c r="P13" s="47">
        <f t="shared" si="1"/>
        <v>-0.479824286497967</v>
      </c>
      <c r="Q13" s="48">
        <v>11</v>
      </c>
    </row>
    <row r="14" ht="23" customHeight="1" spans="1:17">
      <c r="A14" s="17" t="s">
        <v>25</v>
      </c>
      <c r="B14" s="18">
        <v>29</v>
      </c>
      <c r="C14" s="19" t="s">
        <v>26</v>
      </c>
      <c r="D14" s="20">
        <v>27603</v>
      </c>
      <c r="E14" s="37" t="s">
        <v>17</v>
      </c>
      <c r="F14" s="38">
        <v>0.0461406782269478</v>
      </c>
      <c r="G14" s="39" t="s">
        <v>17</v>
      </c>
      <c r="H14" s="40">
        <v>0.238815667107701</v>
      </c>
      <c r="I14" s="41">
        <v>22343</v>
      </c>
      <c r="J14" s="42" t="s">
        <v>17</v>
      </c>
      <c r="K14" s="43">
        <v>0.0648994520306587</v>
      </c>
      <c r="L14" s="44">
        <f t="shared" si="0"/>
        <v>-0.728244579525889</v>
      </c>
      <c r="M14" s="26">
        <v>16378</v>
      </c>
      <c r="N14" s="45" t="s">
        <v>17</v>
      </c>
      <c r="O14" s="46">
        <v>0.0139158144593239</v>
      </c>
      <c r="P14" s="47">
        <f t="shared" si="1"/>
        <v>-0.6984046400255</v>
      </c>
      <c r="Q14" s="48">
        <v>0</v>
      </c>
    </row>
    <row r="15" ht="23" customHeight="1" spans="1:17">
      <c r="A15" s="17" t="s">
        <v>27</v>
      </c>
      <c r="B15" s="18">
        <v>38</v>
      </c>
      <c r="C15" s="19" t="s">
        <v>26</v>
      </c>
      <c r="D15" s="20">
        <v>6656</v>
      </c>
      <c r="E15" s="37" t="s">
        <v>17</v>
      </c>
      <c r="F15" s="38">
        <v>0.0297895483672619</v>
      </c>
      <c r="G15" s="39" t="s">
        <v>17</v>
      </c>
      <c r="H15" s="40">
        <v>0.127626150846481</v>
      </c>
      <c r="I15" s="41">
        <v>7977</v>
      </c>
      <c r="J15" s="42" t="s">
        <v>17</v>
      </c>
      <c r="K15" s="43">
        <v>0.0311963763087988</v>
      </c>
      <c r="L15" s="44">
        <f t="shared" si="0"/>
        <v>-0.75556438784772</v>
      </c>
      <c r="M15" s="26">
        <v>5577</v>
      </c>
      <c r="N15" s="45" t="s">
        <v>17</v>
      </c>
      <c r="O15" s="46">
        <v>0.01360590942204</v>
      </c>
      <c r="P15" s="47">
        <f t="shared" si="1"/>
        <v>-0.543265669747695</v>
      </c>
      <c r="Q15" s="48">
        <v>0</v>
      </c>
    </row>
    <row r="16" ht="23" customHeight="1" spans="1:17">
      <c r="A16" s="17" t="s">
        <v>28</v>
      </c>
      <c r="B16" s="18">
        <v>42</v>
      </c>
      <c r="C16" s="19" t="s">
        <v>16</v>
      </c>
      <c r="D16" s="20">
        <v>699</v>
      </c>
      <c r="E16" s="37" t="s">
        <v>17</v>
      </c>
      <c r="F16" s="38">
        <v>0.0420638434588909</v>
      </c>
      <c r="G16" s="39" t="s">
        <v>29</v>
      </c>
      <c r="H16" s="40"/>
      <c r="I16" s="41"/>
      <c r="J16" s="42" t="s">
        <v>29</v>
      </c>
      <c r="K16" s="43"/>
      <c r="L16" s="44" t="str">
        <f t="shared" si="0"/>
        <v/>
      </c>
      <c r="M16" s="26"/>
      <c r="N16" s="45" t="s">
        <v>17</v>
      </c>
      <c r="O16" s="46">
        <v>0.023938000202179</v>
      </c>
      <c r="P16" s="47">
        <f t="shared" si="1"/>
        <v>-0.43091267383653</v>
      </c>
      <c r="Q16" s="48">
        <v>6</v>
      </c>
    </row>
    <row r="17" ht="23" customHeight="1" spans="1:17">
      <c r="A17" s="17" t="s">
        <v>30</v>
      </c>
      <c r="B17" s="18">
        <v>42</v>
      </c>
      <c r="C17" s="19" t="s">
        <v>16</v>
      </c>
      <c r="D17" s="20">
        <v>1273</v>
      </c>
      <c r="E17" s="37" t="s">
        <v>17</v>
      </c>
      <c r="F17" s="38">
        <v>0.0286705363541842</v>
      </c>
      <c r="G17" s="39" t="s">
        <v>29</v>
      </c>
      <c r="H17" s="40"/>
      <c r="I17" s="41"/>
      <c r="J17" s="42" t="s">
        <v>17</v>
      </c>
      <c r="K17" s="43">
        <v>932.676632354036</v>
      </c>
      <c r="L17" s="44" t="str">
        <f t="shared" si="0"/>
        <v/>
      </c>
      <c r="M17" s="26">
        <v>295900192</v>
      </c>
      <c r="N17" s="45" t="s">
        <v>17</v>
      </c>
      <c r="O17" s="46">
        <v>0.0130915101617575</v>
      </c>
      <c r="P17" s="47">
        <f t="shared" si="1"/>
        <v>-0.543381051542591</v>
      </c>
      <c r="Q17" s="48">
        <v>4</v>
      </c>
    </row>
    <row r="18" ht="23" customHeight="1" spans="1:17">
      <c r="A18" s="17" t="s">
        <v>31</v>
      </c>
      <c r="B18" s="18">
        <v>48</v>
      </c>
      <c r="C18" s="19" t="s">
        <v>16</v>
      </c>
      <c r="D18" s="20">
        <v>10628</v>
      </c>
      <c r="E18" s="37" t="s">
        <v>17</v>
      </c>
      <c r="F18" s="38">
        <v>0.0784978177398443</v>
      </c>
      <c r="G18" s="39" t="s">
        <v>29</v>
      </c>
      <c r="H18" s="40"/>
      <c r="I18" s="41"/>
      <c r="J18" s="42" t="s">
        <v>29</v>
      </c>
      <c r="K18" s="43"/>
      <c r="L18" s="44" t="str">
        <f t="shared" si="0"/>
        <v/>
      </c>
      <c r="M18" s="26"/>
      <c r="N18" s="45" t="s">
        <v>17</v>
      </c>
      <c r="O18" s="46">
        <v>0.0327157694846392</v>
      </c>
      <c r="P18" s="47">
        <f t="shared" si="1"/>
        <v>-0.583227019213896</v>
      </c>
      <c r="Q18" s="48">
        <v>281</v>
      </c>
    </row>
    <row r="19" ht="23" customHeight="1" spans="1:17">
      <c r="A19" s="17" t="s">
        <v>32</v>
      </c>
      <c r="B19" s="18">
        <v>48</v>
      </c>
      <c r="C19" s="19" t="s">
        <v>16</v>
      </c>
      <c r="D19" s="20">
        <v>5046</v>
      </c>
      <c r="E19" s="37" t="s">
        <v>17</v>
      </c>
      <c r="F19" s="38">
        <v>0.095788698643446</v>
      </c>
      <c r="G19" s="39" t="s">
        <v>29</v>
      </c>
      <c r="H19" s="40"/>
      <c r="I19" s="41"/>
      <c r="J19" s="42" t="s">
        <v>29</v>
      </c>
      <c r="K19" s="43"/>
      <c r="L19" s="44" t="str">
        <f t="shared" si="0"/>
        <v/>
      </c>
      <c r="M19" s="26"/>
      <c r="N19" s="45" t="s">
        <v>17</v>
      </c>
      <c r="O19" s="46">
        <v>0.266376098617911</v>
      </c>
      <c r="P19" s="47">
        <f t="shared" si="1"/>
        <v>1.7808718814465</v>
      </c>
      <c r="Q19" s="48">
        <v>90001</v>
      </c>
    </row>
    <row r="20" ht="23" customHeight="1" spans="1:17">
      <c r="A20" s="17" t="s">
        <v>33</v>
      </c>
      <c r="B20" s="18">
        <v>48</v>
      </c>
      <c r="C20" s="19" t="s">
        <v>16</v>
      </c>
      <c r="D20" s="20">
        <v>11461</v>
      </c>
      <c r="E20" s="37" t="s">
        <v>17</v>
      </c>
      <c r="F20" s="38">
        <v>0.0326949190348387</v>
      </c>
      <c r="G20" s="39" t="s">
        <v>29</v>
      </c>
      <c r="H20" s="40"/>
      <c r="I20" s="41"/>
      <c r="J20" s="42" t="s">
        <v>17</v>
      </c>
      <c r="K20" s="43">
        <v>517.543836176395</v>
      </c>
      <c r="L20" s="44" t="str">
        <f t="shared" si="0"/>
        <v/>
      </c>
      <c r="M20" s="26">
        <v>137410226</v>
      </c>
      <c r="N20" s="45" t="s">
        <v>17</v>
      </c>
      <c r="O20" s="46">
        <v>0.0264820549637079</v>
      </c>
      <c r="P20" s="47">
        <f t="shared" si="1"/>
        <v>-0.190025369523337</v>
      </c>
      <c r="Q20" s="48">
        <v>36</v>
      </c>
    </row>
    <row r="21" ht="23" customHeight="1" spans="1:17">
      <c r="A21" s="17" t="s">
        <v>34</v>
      </c>
      <c r="B21" s="18">
        <v>51</v>
      </c>
      <c r="C21" s="19" t="s">
        <v>16</v>
      </c>
      <c r="D21" s="20">
        <v>426</v>
      </c>
      <c r="E21" s="37" t="s">
        <v>17</v>
      </c>
      <c r="F21" s="38">
        <v>0.0478767324239016</v>
      </c>
      <c r="G21" s="39" t="s">
        <v>29</v>
      </c>
      <c r="H21" s="40"/>
      <c r="I21" s="41"/>
      <c r="J21" s="42" t="s">
        <v>35</v>
      </c>
      <c r="K21" s="43"/>
      <c r="L21" s="44" t="str">
        <f t="shared" si="0"/>
        <v/>
      </c>
      <c r="M21" s="26"/>
      <c r="N21" s="45" t="s">
        <v>17</v>
      </c>
      <c r="O21" s="46">
        <v>0.0816067457199097</v>
      </c>
      <c r="P21" s="47">
        <f t="shared" si="1"/>
        <v>0.704517864698072</v>
      </c>
      <c r="Q21" s="48">
        <v>15848</v>
      </c>
    </row>
    <row r="22" ht="23" customHeight="1" spans="1:17">
      <c r="A22" s="17" t="s">
        <v>36</v>
      </c>
      <c r="B22" s="18">
        <v>52</v>
      </c>
      <c r="C22" s="19" t="s">
        <v>16</v>
      </c>
      <c r="D22" s="20">
        <v>7542</v>
      </c>
      <c r="E22" s="37" t="s">
        <v>17</v>
      </c>
      <c r="F22" s="38">
        <v>0.0555447321385145</v>
      </c>
      <c r="G22" s="39" t="s">
        <v>29</v>
      </c>
      <c r="H22" s="40"/>
      <c r="I22" s="41"/>
      <c r="J22" s="42" t="s">
        <v>35</v>
      </c>
      <c r="K22" s="43"/>
      <c r="L22" s="44" t="str">
        <f t="shared" si="0"/>
        <v/>
      </c>
      <c r="M22" s="26"/>
      <c r="N22" s="45" t="s">
        <v>17</v>
      </c>
      <c r="O22" s="46">
        <v>0.0217071957886219</v>
      </c>
      <c r="P22" s="47">
        <f t="shared" si="1"/>
        <v>-0.609194338456982</v>
      </c>
      <c r="Q22" s="48">
        <v>0</v>
      </c>
    </row>
    <row r="23" ht="23" customHeight="1" spans="1:17">
      <c r="A23" s="17" t="s">
        <v>37</v>
      </c>
      <c r="B23" s="18">
        <v>58</v>
      </c>
      <c r="C23" s="19" t="s">
        <v>16</v>
      </c>
      <c r="D23" s="20">
        <v>25395</v>
      </c>
      <c r="E23" s="37" t="s">
        <v>17</v>
      </c>
      <c r="F23" s="38">
        <v>0.0869555156677961</v>
      </c>
      <c r="G23" s="39" t="s">
        <v>29</v>
      </c>
      <c r="H23" s="40"/>
      <c r="I23" s="41"/>
      <c r="J23" s="42" t="s">
        <v>35</v>
      </c>
      <c r="K23" s="43"/>
      <c r="L23" s="44" t="str">
        <f t="shared" si="0"/>
        <v/>
      </c>
      <c r="M23" s="26"/>
      <c r="N23" s="45" t="s">
        <v>17</v>
      </c>
      <c r="O23" s="46">
        <v>0.418115036562085</v>
      </c>
      <c r="P23" s="47">
        <f t="shared" si="1"/>
        <v>3.80837855253998</v>
      </c>
      <c r="Q23" s="48">
        <v>112098</v>
      </c>
    </row>
    <row r="24" ht="23" customHeight="1" spans="1:17">
      <c r="A24" s="17" t="s">
        <v>38</v>
      </c>
      <c r="B24" s="18">
        <v>70</v>
      </c>
      <c r="C24" s="19" t="s">
        <v>16</v>
      </c>
      <c r="D24" s="20">
        <v>675</v>
      </c>
      <c r="E24" s="37" t="s">
        <v>17</v>
      </c>
      <c r="F24" s="38">
        <v>0.065910154953599</v>
      </c>
      <c r="G24" s="39" t="s">
        <v>35</v>
      </c>
      <c r="H24" s="40"/>
      <c r="I24" s="41"/>
      <c r="J24" s="42" t="s">
        <v>35</v>
      </c>
      <c r="K24" s="43"/>
      <c r="L24" s="44" t="str">
        <f t="shared" si="0"/>
        <v/>
      </c>
      <c r="M24" s="26"/>
      <c r="N24" s="45" t="s">
        <v>17</v>
      </c>
      <c r="O24" s="46">
        <v>18.7044841926545</v>
      </c>
      <c r="P24" s="47">
        <f t="shared" si="1"/>
        <v>282.787592455556</v>
      </c>
      <c r="Q24" s="48">
        <v>5632636</v>
      </c>
    </row>
    <row r="25" ht="23" customHeight="1" spans="1:17">
      <c r="A25" s="17" t="s">
        <v>39</v>
      </c>
      <c r="B25" s="18">
        <v>76</v>
      </c>
      <c r="C25" s="19" t="s">
        <v>16</v>
      </c>
      <c r="D25" s="20">
        <v>538</v>
      </c>
      <c r="E25" s="37" t="s">
        <v>17</v>
      </c>
      <c r="F25" s="38">
        <v>0.0522380825132132</v>
      </c>
      <c r="G25" s="39" t="s">
        <v>35</v>
      </c>
      <c r="H25" s="40"/>
      <c r="I25" s="41"/>
      <c r="J25" s="42" t="s">
        <v>35</v>
      </c>
      <c r="K25" s="43"/>
      <c r="L25" s="44" t="str">
        <f t="shared" si="0"/>
        <v/>
      </c>
      <c r="M25" s="26"/>
      <c r="N25" s="45" t="s">
        <v>17</v>
      </c>
      <c r="O25" s="46">
        <v>0.586678186431527</v>
      </c>
      <c r="P25" s="47">
        <f t="shared" si="1"/>
        <v>10.2308522481301</v>
      </c>
      <c r="Q25" s="48">
        <v>105325</v>
      </c>
    </row>
    <row r="26" ht="23" customHeight="1" spans="1:17">
      <c r="A26" s="17" t="s">
        <v>40</v>
      </c>
      <c r="B26" s="18">
        <v>76</v>
      </c>
      <c r="C26" s="19" t="s">
        <v>16</v>
      </c>
      <c r="D26" s="20">
        <v>108159</v>
      </c>
      <c r="E26" s="37" t="s">
        <v>17</v>
      </c>
      <c r="F26" s="38">
        <v>0.208613555878401</v>
      </c>
      <c r="G26" s="39" t="s">
        <v>35</v>
      </c>
      <c r="H26" s="40"/>
      <c r="I26" s="41"/>
      <c r="J26" s="42" t="s">
        <v>35</v>
      </c>
      <c r="K26" s="43"/>
      <c r="L26" s="44" t="str">
        <f t="shared" si="0"/>
        <v/>
      </c>
      <c r="M26" s="26"/>
      <c r="N26" s="45" t="s">
        <v>29</v>
      </c>
      <c r="O26" s="46"/>
      <c r="P26" s="47" t="str">
        <f t="shared" si="1"/>
        <v/>
      </c>
      <c r="Q26" s="48"/>
    </row>
    <row r="27" ht="23" customHeight="1" spans="1:17">
      <c r="A27" s="17" t="s">
        <v>41</v>
      </c>
      <c r="B27" s="18">
        <v>96</v>
      </c>
      <c r="C27" s="19" t="s">
        <v>16</v>
      </c>
      <c r="D27" s="20">
        <v>55209</v>
      </c>
      <c r="E27" s="37" t="s">
        <v>17</v>
      </c>
      <c r="F27" s="38">
        <v>0.212358029559255</v>
      </c>
      <c r="G27" s="39" t="s">
        <v>35</v>
      </c>
      <c r="H27" s="40"/>
      <c r="I27" s="41"/>
      <c r="J27" s="42" t="s">
        <v>35</v>
      </c>
      <c r="K27" s="43"/>
      <c r="L27" s="44" t="str">
        <f t="shared" si="0"/>
        <v/>
      </c>
      <c r="M27" s="26"/>
      <c r="N27" s="45" t="s">
        <v>17</v>
      </c>
      <c r="O27" s="46">
        <v>7.91012974828482</v>
      </c>
      <c r="P27" s="47">
        <f t="shared" si="1"/>
        <v>36.2490259242947</v>
      </c>
      <c r="Q27" s="48">
        <v>1672187</v>
      </c>
    </row>
    <row r="28" ht="23" customHeight="1" spans="1:17">
      <c r="A28" s="17" t="s">
        <v>42</v>
      </c>
      <c r="B28" s="18">
        <v>99</v>
      </c>
      <c r="C28" s="19" t="s">
        <v>16</v>
      </c>
      <c r="D28" s="20">
        <v>1211</v>
      </c>
      <c r="E28" s="37" t="s">
        <v>17</v>
      </c>
      <c r="F28" s="38">
        <v>1.12165648490191</v>
      </c>
      <c r="G28" s="39" t="s">
        <v>35</v>
      </c>
      <c r="H28" s="40"/>
      <c r="I28" s="41"/>
      <c r="J28" s="42" t="s">
        <v>35</v>
      </c>
      <c r="K28" s="43"/>
      <c r="L28" s="44" t="str">
        <f t="shared" si="0"/>
        <v/>
      </c>
      <c r="M28" s="26"/>
      <c r="N28" s="45" t="s">
        <v>17</v>
      </c>
      <c r="O28" s="46">
        <v>0.463359856978059</v>
      </c>
      <c r="P28" s="47">
        <f t="shared" si="1"/>
        <v>-0.586896823390113</v>
      </c>
      <c r="Q28" s="48">
        <v>67911</v>
      </c>
    </row>
    <row r="29" ht="23" customHeight="1" spans="1:17">
      <c r="A29" s="17" t="s">
        <v>43</v>
      </c>
      <c r="B29" s="18">
        <v>100</v>
      </c>
      <c r="C29" s="19" t="s">
        <v>16</v>
      </c>
      <c r="D29" s="20">
        <v>21282</v>
      </c>
      <c r="E29" s="37" t="s">
        <v>17</v>
      </c>
      <c r="F29" s="38">
        <v>0.103080412372947</v>
      </c>
      <c r="G29" s="39" t="s">
        <v>35</v>
      </c>
      <c r="H29" s="40"/>
      <c r="I29" s="41"/>
      <c r="J29" s="42" t="s">
        <v>35</v>
      </c>
      <c r="K29" s="43"/>
      <c r="L29" s="44" t="str">
        <f t="shared" si="0"/>
        <v/>
      </c>
      <c r="M29" s="26"/>
      <c r="N29" s="45" t="s">
        <v>17</v>
      </c>
      <c r="O29" s="46">
        <v>806.30711075291</v>
      </c>
      <c r="P29" s="47">
        <f t="shared" si="1"/>
        <v>7821.11762828106</v>
      </c>
      <c r="Q29" s="48">
        <v>146674028</v>
      </c>
    </row>
    <row r="30" ht="23" customHeight="1" spans="1:17">
      <c r="A30" s="17" t="s">
        <v>44</v>
      </c>
      <c r="B30" s="18">
        <v>100</v>
      </c>
      <c r="C30" s="19" t="s">
        <v>16</v>
      </c>
      <c r="D30" s="20">
        <v>22141</v>
      </c>
      <c r="E30" s="37" t="s">
        <v>17</v>
      </c>
      <c r="F30" s="38">
        <v>0.191048955544829</v>
      </c>
      <c r="G30" s="39" t="s">
        <v>35</v>
      </c>
      <c r="H30" s="40"/>
      <c r="I30" s="41"/>
      <c r="J30" s="42" t="s">
        <v>35</v>
      </c>
      <c r="K30" s="43"/>
      <c r="L30" s="44" t="str">
        <f t="shared" si="0"/>
        <v/>
      </c>
      <c r="M30" s="26"/>
      <c r="N30" s="45" t="s">
        <v>29</v>
      </c>
      <c r="O30" s="46"/>
      <c r="P30" s="47" t="str">
        <f t="shared" si="1"/>
        <v/>
      </c>
      <c r="Q30" s="48"/>
    </row>
    <row r="31" ht="23" customHeight="1" spans="1:17">
      <c r="A31" s="17" t="s">
        <v>45</v>
      </c>
      <c r="B31" s="18">
        <v>100</v>
      </c>
      <c r="C31" s="19" t="s">
        <v>16</v>
      </c>
      <c r="D31" s="20">
        <v>20749</v>
      </c>
      <c r="E31" s="37" t="s">
        <v>17</v>
      </c>
      <c r="F31" s="38">
        <v>0.114910811185837</v>
      </c>
      <c r="G31" s="39" t="s">
        <v>35</v>
      </c>
      <c r="H31" s="40"/>
      <c r="I31" s="41"/>
      <c r="J31" s="42" t="s">
        <v>35</v>
      </c>
      <c r="K31" s="43"/>
      <c r="L31" s="44" t="str">
        <f t="shared" si="0"/>
        <v/>
      </c>
      <c r="M31" s="26"/>
      <c r="N31" s="45" t="s">
        <v>17</v>
      </c>
      <c r="O31" s="46">
        <v>40.0406234432012</v>
      </c>
      <c r="P31" s="47">
        <f t="shared" si="1"/>
        <v>347.449576066837</v>
      </c>
      <c r="Q31" s="48">
        <v>8463763</v>
      </c>
    </row>
    <row r="32" ht="23" customHeight="1" spans="1:17">
      <c r="A32" s="17" t="s">
        <v>46</v>
      </c>
      <c r="B32" s="18">
        <v>100</v>
      </c>
      <c r="C32" s="19" t="s">
        <v>16</v>
      </c>
      <c r="D32" s="20">
        <v>21294</v>
      </c>
      <c r="E32" s="37" t="s">
        <v>17</v>
      </c>
      <c r="F32" s="38">
        <v>0.148430407047272</v>
      </c>
      <c r="G32" s="39" t="s">
        <v>35</v>
      </c>
      <c r="H32" s="40"/>
      <c r="I32" s="41"/>
      <c r="J32" s="42" t="s">
        <v>35</v>
      </c>
      <c r="K32" s="43"/>
      <c r="L32" s="44" t="str">
        <f t="shared" si="0"/>
        <v/>
      </c>
      <c r="M32" s="26"/>
      <c r="N32" s="45" t="s">
        <v>17</v>
      </c>
      <c r="O32" s="46">
        <v>593.617259750143</v>
      </c>
      <c r="P32" s="47">
        <f t="shared" si="1"/>
        <v>3998.29685270679</v>
      </c>
      <c r="Q32" s="48">
        <v>90688415</v>
      </c>
    </row>
    <row r="33" ht="23" customHeight="1" spans="1:17">
      <c r="A33" s="17" t="s">
        <v>47</v>
      </c>
      <c r="B33" s="18">
        <v>100</v>
      </c>
      <c r="C33" s="19" t="s">
        <v>16</v>
      </c>
      <c r="D33" s="20">
        <v>22068</v>
      </c>
      <c r="E33" s="37" t="s">
        <v>17</v>
      </c>
      <c r="F33" s="38">
        <v>0.245778240263462</v>
      </c>
      <c r="G33" s="39" t="s">
        <v>35</v>
      </c>
      <c r="H33" s="40"/>
      <c r="I33" s="41"/>
      <c r="J33" s="42" t="s">
        <v>35</v>
      </c>
      <c r="K33" s="43"/>
      <c r="L33" s="44" t="str">
        <f t="shared" si="0"/>
        <v/>
      </c>
      <c r="M33" s="26"/>
      <c r="N33" s="45" t="s">
        <v>29</v>
      </c>
      <c r="O33" s="46"/>
      <c r="P33" s="47" t="str">
        <f t="shared" si="1"/>
        <v/>
      </c>
      <c r="Q33" s="48"/>
    </row>
    <row r="34" ht="23" customHeight="1" spans="1:17">
      <c r="A34" s="17" t="s">
        <v>48</v>
      </c>
      <c r="B34" s="18">
        <v>100</v>
      </c>
      <c r="C34" s="19" t="s">
        <v>16</v>
      </c>
      <c r="D34" s="20">
        <v>7910</v>
      </c>
      <c r="E34" s="37" t="s">
        <v>17</v>
      </c>
      <c r="F34" s="38">
        <v>0.0842797365039587</v>
      </c>
      <c r="G34" s="39" t="s">
        <v>35</v>
      </c>
      <c r="H34" s="40"/>
      <c r="I34" s="41"/>
      <c r="J34" s="42" t="s">
        <v>35</v>
      </c>
      <c r="K34" s="43"/>
      <c r="L34" s="44" t="str">
        <f t="shared" si="0"/>
        <v/>
      </c>
      <c r="M34" s="26"/>
      <c r="N34" s="45" t="s">
        <v>17</v>
      </c>
      <c r="O34" s="46">
        <v>2.05701260454953</v>
      </c>
      <c r="P34" s="47">
        <f t="shared" si="1"/>
        <v>23.4069653024237</v>
      </c>
      <c r="Q34" s="48">
        <v>350903</v>
      </c>
    </row>
    <row r="35" ht="23" customHeight="1" spans="1:17">
      <c r="A35" s="17" t="s">
        <v>49</v>
      </c>
      <c r="B35" s="18">
        <v>101</v>
      </c>
      <c r="C35" s="19" t="s">
        <v>16</v>
      </c>
      <c r="D35" s="20">
        <v>629</v>
      </c>
      <c r="E35" s="37" t="s">
        <v>17</v>
      </c>
      <c r="F35" s="38">
        <v>0.0874697268009186</v>
      </c>
      <c r="G35" s="39" t="s">
        <v>35</v>
      </c>
      <c r="H35" s="40"/>
      <c r="I35" s="41"/>
      <c r="J35" s="42" t="s">
        <v>35</v>
      </c>
      <c r="K35" s="43"/>
      <c r="L35" s="44" t="str">
        <f t="shared" si="0"/>
        <v/>
      </c>
      <c r="M35" s="26"/>
      <c r="N35" s="45" t="s">
        <v>17</v>
      </c>
      <c r="O35" s="46">
        <v>12.1827733516693</v>
      </c>
      <c r="P35" s="47">
        <f t="shared" si="1"/>
        <v>138.279883420664</v>
      </c>
      <c r="Q35" s="48">
        <v>2747059</v>
      </c>
    </row>
    <row r="36" ht="23" customHeight="1" spans="1:17">
      <c r="A36" s="17" t="s">
        <v>50</v>
      </c>
      <c r="B36" s="18">
        <v>105</v>
      </c>
      <c r="C36" s="19" t="s">
        <v>16</v>
      </c>
      <c r="D36" s="20">
        <v>14379</v>
      </c>
      <c r="E36" s="37" t="s">
        <v>17</v>
      </c>
      <c r="F36" s="38">
        <v>0.0863351225852966</v>
      </c>
      <c r="G36" s="39" t="s">
        <v>35</v>
      </c>
      <c r="H36" s="40"/>
      <c r="I36" s="41"/>
      <c r="J36" s="42" t="s">
        <v>35</v>
      </c>
      <c r="K36" s="43"/>
      <c r="L36" s="44" t="str">
        <f t="shared" si="0"/>
        <v/>
      </c>
      <c r="M36" s="26"/>
      <c r="N36" s="45" t="s">
        <v>17</v>
      </c>
      <c r="O36" s="46">
        <v>0.16162608936429</v>
      </c>
      <c r="P36" s="47">
        <f t="shared" si="1"/>
        <v>0.872078066543637</v>
      </c>
      <c r="Q36" s="48">
        <v>225</v>
      </c>
    </row>
    <row r="37" ht="23" customHeight="1" spans="1:17">
      <c r="A37" s="17" t="s">
        <v>51</v>
      </c>
      <c r="B37" s="18">
        <v>107</v>
      </c>
      <c r="C37" s="19" t="s">
        <v>16</v>
      </c>
      <c r="D37" s="20">
        <v>44303</v>
      </c>
      <c r="E37" s="37" t="s">
        <v>17</v>
      </c>
      <c r="F37" s="38">
        <v>0.154474977403879</v>
      </c>
      <c r="G37" s="39" t="s">
        <v>35</v>
      </c>
      <c r="H37" s="40"/>
      <c r="I37" s="41"/>
      <c r="J37" s="42" t="s">
        <v>35</v>
      </c>
      <c r="K37" s="43"/>
      <c r="L37" s="44" t="str">
        <f t="shared" si="0"/>
        <v/>
      </c>
      <c r="M37" s="26"/>
      <c r="N37" s="45" t="s">
        <v>29</v>
      </c>
      <c r="O37" s="46"/>
      <c r="P37" s="47" t="str">
        <f t="shared" si="1"/>
        <v/>
      </c>
      <c r="Q37" s="48"/>
    </row>
    <row r="38" ht="23" customHeight="1" spans="1:17">
      <c r="A38" s="17" t="s">
        <v>52</v>
      </c>
      <c r="B38" s="18">
        <v>120</v>
      </c>
      <c r="C38" s="19" t="s">
        <v>16</v>
      </c>
      <c r="D38" s="20">
        <v>6942</v>
      </c>
      <c r="E38" s="37" t="s">
        <v>17</v>
      </c>
      <c r="F38" s="38">
        <v>0.169621527194977</v>
      </c>
      <c r="G38" s="39" t="s">
        <v>35</v>
      </c>
      <c r="H38" s="40"/>
      <c r="I38" s="41"/>
      <c r="J38" s="42" t="s">
        <v>35</v>
      </c>
      <c r="K38" s="43"/>
      <c r="L38" s="44" t="str">
        <f t="shared" si="0"/>
        <v/>
      </c>
      <c r="M38" s="26"/>
      <c r="N38" s="45" t="s">
        <v>29</v>
      </c>
      <c r="O38" s="46"/>
      <c r="P38" s="47" t="str">
        <f t="shared" si="1"/>
        <v/>
      </c>
      <c r="Q38" s="48"/>
    </row>
    <row r="39" ht="23" customHeight="1" spans="1:17">
      <c r="A39" s="17" t="s">
        <v>53</v>
      </c>
      <c r="B39" s="18">
        <v>124</v>
      </c>
      <c r="C39" s="19" t="s">
        <v>16</v>
      </c>
      <c r="D39" s="20">
        <v>59030</v>
      </c>
      <c r="E39" s="37" t="s">
        <v>17</v>
      </c>
      <c r="F39" s="38">
        <v>0.492396626621485</v>
      </c>
      <c r="G39" s="39" t="s">
        <v>35</v>
      </c>
      <c r="H39" s="40"/>
      <c r="I39" s="41"/>
      <c r="J39" s="42" t="s">
        <v>35</v>
      </c>
      <c r="K39" s="43"/>
      <c r="L39" s="44" t="str">
        <f t="shared" si="0"/>
        <v/>
      </c>
      <c r="M39" s="26"/>
      <c r="N39" s="45" t="s">
        <v>17</v>
      </c>
      <c r="O39" s="46">
        <v>4.0410657953471</v>
      </c>
      <c r="P39" s="47">
        <f t="shared" si="1"/>
        <v>7.20693233232393</v>
      </c>
      <c r="Q39" s="48">
        <v>487141</v>
      </c>
    </row>
    <row r="40" ht="23" customHeight="1" spans="1:17">
      <c r="A40" s="17" t="s">
        <v>54</v>
      </c>
      <c r="B40" s="18">
        <v>127</v>
      </c>
      <c r="C40" s="19" t="s">
        <v>16</v>
      </c>
      <c r="D40" s="20">
        <v>118282</v>
      </c>
      <c r="E40" s="37" t="s">
        <v>17</v>
      </c>
      <c r="F40" s="38">
        <v>0.24913277104497</v>
      </c>
      <c r="G40" s="39" t="s">
        <v>35</v>
      </c>
      <c r="H40" s="40"/>
      <c r="I40" s="41"/>
      <c r="J40" s="42" t="s">
        <v>35</v>
      </c>
      <c r="K40" s="43"/>
      <c r="L40" s="44" t="str">
        <f t="shared" si="0"/>
        <v/>
      </c>
      <c r="M40" s="26"/>
      <c r="N40" s="45" t="s">
        <v>29</v>
      </c>
      <c r="O40" s="46"/>
      <c r="P40" s="47" t="str">
        <f t="shared" si="1"/>
        <v/>
      </c>
      <c r="Q40" s="48"/>
    </row>
    <row r="41" ht="23" customHeight="1" spans="1:17">
      <c r="A41" s="17" t="s">
        <v>55</v>
      </c>
      <c r="B41" s="18">
        <v>130</v>
      </c>
      <c r="C41" s="19" t="s">
        <v>16</v>
      </c>
      <c r="D41" s="20">
        <v>6110</v>
      </c>
      <c r="E41" s="37" t="s">
        <v>17</v>
      </c>
      <c r="F41" s="38">
        <v>0.278860088437796</v>
      </c>
      <c r="G41" s="39" t="s">
        <v>35</v>
      </c>
      <c r="H41" s="40"/>
      <c r="I41" s="41"/>
      <c r="J41" s="42" t="s">
        <v>35</v>
      </c>
      <c r="K41" s="43"/>
      <c r="L41" s="44" t="str">
        <f t="shared" si="0"/>
        <v/>
      </c>
      <c r="M41" s="26"/>
      <c r="N41" s="45" t="s">
        <v>29</v>
      </c>
      <c r="O41" s="46"/>
      <c r="P41" s="47" t="str">
        <f t="shared" si="1"/>
        <v/>
      </c>
      <c r="Q41" s="48"/>
    </row>
    <row r="42" ht="23" customHeight="1" spans="1:17">
      <c r="A42" s="17" t="s">
        <v>56</v>
      </c>
      <c r="B42" s="18">
        <v>131</v>
      </c>
      <c r="C42" s="19" t="s">
        <v>57</v>
      </c>
      <c r="D42" s="20">
        <v>564</v>
      </c>
      <c r="E42" s="37" t="s">
        <v>17</v>
      </c>
      <c r="F42" s="38">
        <v>0.476208850741386</v>
      </c>
      <c r="G42" s="39" t="s">
        <v>35</v>
      </c>
      <c r="H42" s="40"/>
      <c r="I42" s="41"/>
      <c r="J42" s="42" t="s">
        <v>35</v>
      </c>
      <c r="K42" s="43"/>
      <c r="L42" s="44" t="str">
        <f t="shared" si="0"/>
        <v/>
      </c>
      <c r="M42" s="26"/>
      <c r="N42" s="45" t="s">
        <v>29</v>
      </c>
      <c r="O42" s="46"/>
      <c r="P42" s="47" t="str">
        <f t="shared" si="1"/>
        <v/>
      </c>
      <c r="Q42" s="48"/>
    </row>
    <row r="43" ht="23" customHeight="1" spans="1:17">
      <c r="A43" s="17" t="s">
        <v>58</v>
      </c>
      <c r="B43" s="18">
        <v>136</v>
      </c>
      <c r="C43" s="19" t="s">
        <v>16</v>
      </c>
      <c r="D43" s="20">
        <v>96772</v>
      </c>
      <c r="E43" s="37" t="s">
        <v>17</v>
      </c>
      <c r="F43" s="38">
        <v>0.67131388746202</v>
      </c>
      <c r="G43" s="39" t="s">
        <v>35</v>
      </c>
      <c r="H43" s="40"/>
      <c r="I43" s="41"/>
      <c r="J43" s="42" t="s">
        <v>35</v>
      </c>
      <c r="K43" s="43"/>
      <c r="L43" s="44" t="str">
        <f t="shared" si="0"/>
        <v/>
      </c>
      <c r="M43" s="26"/>
      <c r="N43" s="45" t="s">
        <v>29</v>
      </c>
      <c r="O43" s="46"/>
      <c r="P43" s="47" t="str">
        <f t="shared" si="1"/>
        <v/>
      </c>
      <c r="Q43" s="48"/>
    </row>
    <row r="44" ht="23" customHeight="1" spans="1:17">
      <c r="A44" s="17" t="s">
        <v>59</v>
      </c>
      <c r="B44" s="18">
        <v>137</v>
      </c>
      <c r="C44" s="19" t="s">
        <v>16</v>
      </c>
      <c r="D44" s="20">
        <v>69853</v>
      </c>
      <c r="E44" s="37" t="s">
        <v>17</v>
      </c>
      <c r="F44" s="38">
        <v>0.444573819637299</v>
      </c>
      <c r="G44" s="39" t="s">
        <v>35</v>
      </c>
      <c r="H44" s="40"/>
      <c r="I44" s="41"/>
      <c r="J44" s="42" t="s">
        <v>35</v>
      </c>
      <c r="K44" s="43"/>
      <c r="L44" s="44" t="str">
        <f t="shared" si="0"/>
        <v/>
      </c>
      <c r="M44" s="26"/>
      <c r="N44" s="45" t="s">
        <v>17</v>
      </c>
      <c r="O44" s="46">
        <v>445.028303332627</v>
      </c>
      <c r="P44" s="47">
        <f t="shared" si="1"/>
        <v>1000.0222907316</v>
      </c>
      <c r="Q44" s="48">
        <v>16170127</v>
      </c>
    </row>
    <row r="45" ht="23" customHeight="1" spans="1:17">
      <c r="A45" s="17" t="s">
        <v>60</v>
      </c>
      <c r="B45" s="18">
        <v>144</v>
      </c>
      <c r="C45" s="19" t="s">
        <v>16</v>
      </c>
      <c r="D45" s="20">
        <v>58537</v>
      </c>
      <c r="E45" s="37" t="s">
        <v>17</v>
      </c>
      <c r="F45" s="38">
        <v>0.295374676585197</v>
      </c>
      <c r="G45" s="39" t="s">
        <v>35</v>
      </c>
      <c r="H45" s="40"/>
      <c r="I45" s="41"/>
      <c r="J45" s="42" t="s">
        <v>35</v>
      </c>
      <c r="K45" s="43"/>
      <c r="L45" s="44" t="str">
        <f t="shared" si="0"/>
        <v/>
      </c>
      <c r="M45" s="26"/>
      <c r="N45" s="45" t="s">
        <v>29</v>
      </c>
      <c r="O45" s="46"/>
      <c r="P45" s="47" t="str">
        <f t="shared" si="1"/>
        <v/>
      </c>
      <c r="Q45" s="48"/>
    </row>
    <row r="46" ht="23" customHeight="1" spans="1:17">
      <c r="A46" s="17" t="s">
        <v>61</v>
      </c>
      <c r="B46" s="18">
        <v>150</v>
      </c>
      <c r="C46" s="19" t="s">
        <v>16</v>
      </c>
      <c r="D46" s="20">
        <v>6528</v>
      </c>
      <c r="E46" s="37" t="s">
        <v>17</v>
      </c>
      <c r="F46" s="38">
        <v>0.366124533116817</v>
      </c>
      <c r="G46" s="39" t="s">
        <v>35</v>
      </c>
      <c r="H46" s="40"/>
      <c r="I46" s="41"/>
      <c r="J46" s="42" t="s">
        <v>35</v>
      </c>
      <c r="K46" s="43"/>
      <c r="L46" s="44" t="str">
        <f t="shared" si="0"/>
        <v/>
      </c>
      <c r="M46" s="26"/>
      <c r="N46" s="45" t="s">
        <v>29</v>
      </c>
      <c r="O46" s="46"/>
      <c r="P46" s="47" t="str">
        <f t="shared" si="1"/>
        <v/>
      </c>
      <c r="Q46" s="48"/>
    </row>
    <row r="47" ht="23" customHeight="1" spans="1:17">
      <c r="A47" s="17" t="s">
        <v>62</v>
      </c>
      <c r="B47" s="18">
        <v>150</v>
      </c>
      <c r="C47" s="19" t="s">
        <v>16</v>
      </c>
      <c r="D47" s="20">
        <v>26524</v>
      </c>
      <c r="E47" s="37" t="s">
        <v>17</v>
      </c>
      <c r="F47" s="38">
        <v>0.691833760589361</v>
      </c>
      <c r="G47" s="39" t="s">
        <v>35</v>
      </c>
      <c r="H47" s="40"/>
      <c r="I47" s="41"/>
      <c r="J47" s="42" t="s">
        <v>35</v>
      </c>
      <c r="K47" s="43"/>
      <c r="L47" s="44" t="str">
        <f t="shared" si="0"/>
        <v/>
      </c>
      <c r="M47" s="26"/>
      <c r="N47" s="45" t="s">
        <v>29</v>
      </c>
      <c r="O47" s="46"/>
      <c r="P47" s="47" t="str">
        <f t="shared" si="1"/>
        <v/>
      </c>
      <c r="Q47" s="48"/>
    </row>
  </sheetData>
  <mergeCells count="10">
    <mergeCell ref="A1:Q1"/>
    <mergeCell ref="A2:Q2"/>
    <mergeCell ref="E4:F4"/>
    <mergeCell ref="G4:I4"/>
    <mergeCell ref="J4:M4"/>
    <mergeCell ref="N4:Q4"/>
    <mergeCell ref="A4:A5"/>
    <mergeCell ref="B4:B5"/>
    <mergeCell ref="C4:C5"/>
    <mergeCell ref="D4:D5"/>
  </mergeCells>
  <conditionalFormatting sqref="L6:L47">
    <cfRule type="cellIs" dxfId="0" priority="5" operator="lessThan">
      <formula>0</formula>
    </cfRule>
    <cfRule type="cellIs" dxfId="1" priority="6" operator="greaterThan">
      <formula>0</formula>
    </cfRule>
  </conditionalFormatting>
  <conditionalFormatting sqref="P6:P47">
    <cfRule type="cellIs" dxfId="0" priority="7" operator="lessThan">
      <formula>0</formula>
    </cfRule>
    <cfRule type="cellIs" dxfId="1" priority="8" operator="greaterThan">
      <formula>0</formula>
    </cfRule>
  </conditionalFormatting>
  <printOptions horizontalCentered="1"/>
  <pageMargins left="0.75" right="0.75" top="1" bottom="1" header="0.5" footer="0.5"/>
  <pageSetup paperSize="1" fitToHeight="0" orientation="landscape"/>
  <headerFooter>
    <oddHeader>&amp;CTSP 求解器逐实例策略对比</oddHeader>
    <oddFooter>&amp;R第 &amp;P / &amp;N 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7"/>
  <sheetViews>
    <sheetView showGridLines="0" workbookViewId="0">
      <pane xSplit="4" ySplit="5" topLeftCell="E6" activePane="bottomRight" state="frozen"/>
      <selection/>
      <selection pane="topRight"/>
      <selection pane="bottomLeft"/>
      <selection pane="bottomRight" activeCell="E4" sqref="E4:J4"/>
    </sheetView>
  </sheetViews>
  <sheetFormatPr defaultColWidth="9" defaultRowHeight="16.8"/>
  <cols>
    <col min="1" max="1" width="16" customWidth="1"/>
    <col min="2" max="2" width="7" customWidth="1"/>
    <col min="3" max="3" width="14" customWidth="1"/>
    <col min="4" max="6" width="15" customWidth="1"/>
    <col min="7" max="7" width="13" customWidth="1"/>
    <col min="8" max="9" width="17" customWidth="1"/>
    <col min="10" max="10" width="13" customWidth="1"/>
    <col min="11" max="12" width="15" customWidth="1"/>
    <col min="13" max="13" width="13" customWidth="1"/>
    <col min="14" max="15" width="17" customWidth="1"/>
    <col min="16" max="16" width="16" customWidth="1"/>
  </cols>
  <sheetData>
    <row r="1" ht="30" customHeight="1" spans="1:1">
      <c r="A1" s="1" t="s">
        <v>63</v>
      </c>
    </row>
    <row r="2" ht="42" customHeight="1" spans="1:1">
      <c r="A2" s="2" t="s">
        <v>64</v>
      </c>
    </row>
    <row r="3" ht="8" customHeight="1"/>
    <row r="4" ht="40" customHeight="1" spans="1:16">
      <c r="A4" s="3" t="s">
        <v>2</v>
      </c>
      <c r="B4" s="3" t="s">
        <v>3</v>
      </c>
      <c r="C4" s="3" t="s">
        <v>4</v>
      </c>
      <c r="D4" s="3" t="s">
        <v>5</v>
      </c>
      <c r="E4" s="21" t="s">
        <v>65</v>
      </c>
      <c r="F4" s="22"/>
      <c r="G4" s="22"/>
      <c r="H4" s="22"/>
      <c r="I4" s="22"/>
      <c r="J4" s="27"/>
      <c r="K4" s="28" t="s">
        <v>66</v>
      </c>
      <c r="L4" s="22"/>
      <c r="M4" s="22"/>
      <c r="N4" s="22"/>
      <c r="O4" s="22"/>
      <c r="P4" s="27"/>
    </row>
    <row r="5" ht="38" customHeight="1" spans="1:16">
      <c r="A5" s="16"/>
      <c r="B5" s="16"/>
      <c r="C5" s="16"/>
      <c r="D5" s="16"/>
      <c r="E5" s="23" t="s">
        <v>67</v>
      </c>
      <c r="F5" s="23" t="s">
        <v>68</v>
      </c>
      <c r="G5" s="23" t="s">
        <v>69</v>
      </c>
      <c r="H5" s="23" t="s">
        <v>70</v>
      </c>
      <c r="I5" s="23" t="s">
        <v>71</v>
      </c>
      <c r="J5" s="23" t="s">
        <v>72</v>
      </c>
      <c r="K5" s="29" t="s">
        <v>73</v>
      </c>
      <c r="L5" s="29" t="s">
        <v>68</v>
      </c>
      <c r="M5" s="29" t="s">
        <v>69</v>
      </c>
      <c r="N5" s="29" t="s">
        <v>74</v>
      </c>
      <c r="O5" s="29" t="s">
        <v>75</v>
      </c>
      <c r="P5" s="29" t="s">
        <v>76</v>
      </c>
    </row>
    <row r="6" ht="23" customHeight="1" spans="1:16">
      <c r="A6" s="17" t="s">
        <v>15</v>
      </c>
      <c r="B6" s="18">
        <v>14</v>
      </c>
      <c r="C6" s="19" t="s">
        <v>16</v>
      </c>
      <c r="D6" s="20">
        <v>3323</v>
      </c>
      <c r="E6" s="24">
        <f>IF(实例对比!K6="","",实例对比!K6)</f>
        <v>0.0221390761435032</v>
      </c>
      <c r="F6" s="24">
        <f>IF(实例对比!O6="","",实例对比!O6)</f>
        <v>0.0130537264049053</v>
      </c>
      <c r="G6" s="25">
        <f t="shared" ref="G6:G47" si="0">IF(OR(F6="",E6=""),"",F6/E6-1)</f>
        <v>-0.410376190935322</v>
      </c>
      <c r="H6" s="26">
        <f>IF(实例对比!M6="","",实例对比!M6)</f>
        <v>3889</v>
      </c>
      <c r="I6" s="26">
        <f>IF(实例对比!Q6="","",实例对比!Q6)</f>
        <v>0</v>
      </c>
      <c r="J6" s="25">
        <f t="shared" ref="J6:J47" si="1">IF(OR(I6="",H6=""),"",I6/H6-1)</f>
        <v>-1</v>
      </c>
      <c r="K6" s="30">
        <f>IF(实例对比!F6="","",实例对比!F6)</f>
        <v>0.0237165987491608</v>
      </c>
      <c r="L6" s="30">
        <f>IF(实例对比!O6="","",实例对比!O6)</f>
        <v>0.0130537264049053</v>
      </c>
      <c r="M6" s="31">
        <f t="shared" ref="M6:M47" si="2">IF(OR(L6="",K6=""),"",L6/K6-1)</f>
        <v>-0.449595342782143</v>
      </c>
      <c r="N6" s="32" t="str">
        <f>实例对比!E6</f>
        <v>完成</v>
      </c>
      <c r="O6" s="32" t="str">
        <f>实例对比!N6</f>
        <v>完成</v>
      </c>
      <c r="P6" s="32" t="str">
        <f t="shared" ref="P6:P47" si="3">IF(AND(N6="完成",O6="完成"),IF(M6&lt;0,"HKMST 更快",IF(M6&gt;0,"Concorde 更快","相同")),"不可比")</f>
        <v>HKMST 更快</v>
      </c>
    </row>
    <row r="7" ht="23" customHeight="1" spans="1:16">
      <c r="A7" s="17" t="s">
        <v>18</v>
      </c>
      <c r="B7" s="18">
        <v>16</v>
      </c>
      <c r="C7" s="19" t="s">
        <v>16</v>
      </c>
      <c r="D7" s="20">
        <v>6859</v>
      </c>
      <c r="E7" s="24">
        <f>IF(实例对比!K7="","",实例对比!K7)</f>
        <v>5.99226351268589</v>
      </c>
      <c r="F7" s="24">
        <f>IF(实例对比!O7="","",实例对比!O7)</f>
        <v>0.0153503194451332</v>
      </c>
      <c r="G7" s="25">
        <f t="shared" si="0"/>
        <v>-0.997438310345892</v>
      </c>
      <c r="H7" s="26">
        <f>IF(实例对比!M7="","",实例对比!M7)</f>
        <v>3294071</v>
      </c>
      <c r="I7" s="26">
        <f>IF(实例对比!Q7="","",实例对比!Q7)</f>
        <v>0</v>
      </c>
      <c r="J7" s="25">
        <f t="shared" si="1"/>
        <v>-1</v>
      </c>
      <c r="K7" s="30">
        <f>IF(实例对比!F7="","",实例对比!F7)</f>
        <v>0.0449027791619301</v>
      </c>
      <c r="L7" s="30">
        <f>IF(实例对比!O7="","",实例对比!O7)</f>
        <v>0.0153503194451332</v>
      </c>
      <c r="M7" s="31">
        <f t="shared" si="2"/>
        <v>-0.658143221162853</v>
      </c>
      <c r="N7" s="32" t="str">
        <f>实例对比!E7</f>
        <v>完成</v>
      </c>
      <c r="O7" s="32" t="str">
        <f>实例对比!N7</f>
        <v>完成</v>
      </c>
      <c r="P7" s="32" t="str">
        <f t="shared" si="3"/>
        <v>HKMST 更快</v>
      </c>
    </row>
    <row r="8" ht="23" customHeight="1" spans="1:16">
      <c r="A8" s="17" t="s">
        <v>19</v>
      </c>
      <c r="B8" s="18">
        <v>17</v>
      </c>
      <c r="C8" s="19" t="s">
        <v>16</v>
      </c>
      <c r="D8" s="20">
        <v>2085</v>
      </c>
      <c r="E8" s="24">
        <f>IF(实例对比!K8="","",实例对比!K8)</f>
        <v>0.780585145577788</v>
      </c>
      <c r="F8" s="24">
        <f>IF(实例对比!O8="","",实例对比!O8)</f>
        <v>0.00854879431426525</v>
      </c>
      <c r="G8" s="25">
        <f t="shared" si="0"/>
        <v>-0.989048223166049</v>
      </c>
      <c r="H8" s="26">
        <f>IF(实例对比!M8="","",实例对比!M8)</f>
        <v>396116</v>
      </c>
      <c r="I8" s="26">
        <f>IF(实例对比!Q8="","",实例对比!Q8)</f>
        <v>0</v>
      </c>
      <c r="J8" s="25">
        <f t="shared" si="1"/>
        <v>-1</v>
      </c>
      <c r="K8" s="30">
        <f>IF(实例对比!F8="","",实例对比!F8)</f>
        <v>0.0272781308740377</v>
      </c>
      <c r="L8" s="30">
        <f>IF(实例对比!O8="","",实例对比!O8)</f>
        <v>0.00854879431426525</v>
      </c>
      <c r="M8" s="31">
        <f t="shared" si="2"/>
        <v>-0.686606301812208</v>
      </c>
      <c r="N8" s="32" t="str">
        <f>实例对比!E8</f>
        <v>完成</v>
      </c>
      <c r="O8" s="32" t="str">
        <f>实例对比!N8</f>
        <v>完成</v>
      </c>
      <c r="P8" s="32" t="str">
        <f t="shared" si="3"/>
        <v>HKMST 更快</v>
      </c>
    </row>
    <row r="9" ht="23" customHeight="1" spans="1:16">
      <c r="A9" s="17" t="s">
        <v>20</v>
      </c>
      <c r="B9" s="18">
        <v>21</v>
      </c>
      <c r="C9" s="19" t="s">
        <v>16</v>
      </c>
      <c r="D9" s="20">
        <v>2707</v>
      </c>
      <c r="E9" s="24">
        <f>IF(实例对比!K9="","",实例对比!K9)</f>
        <v>0.0344352051615715</v>
      </c>
      <c r="F9" s="24">
        <f>IF(实例对比!O9="","",实例对比!O9)</f>
        <v>0.0122367888689041</v>
      </c>
      <c r="G9" s="25">
        <f t="shared" si="0"/>
        <v>-0.644643067712577</v>
      </c>
      <c r="H9" s="26">
        <f>IF(实例对比!M9="","",实例对比!M9)</f>
        <v>8885</v>
      </c>
      <c r="I9" s="26">
        <f>IF(实例对比!Q9="","",实例对比!Q9)</f>
        <v>0</v>
      </c>
      <c r="J9" s="25">
        <f t="shared" si="1"/>
        <v>-1</v>
      </c>
      <c r="K9" s="30">
        <f>IF(实例对比!F9="","",实例对比!F9)</f>
        <v>0.0137806758284569</v>
      </c>
      <c r="L9" s="30">
        <f>IF(实例对比!O9="","",实例对比!O9)</f>
        <v>0.0122367888689041</v>
      </c>
      <c r="M9" s="31">
        <f t="shared" si="2"/>
        <v>-0.112032746345045</v>
      </c>
      <c r="N9" s="32" t="str">
        <f>实例对比!E9</f>
        <v>完成</v>
      </c>
      <c r="O9" s="32" t="str">
        <f>实例对比!N9</f>
        <v>完成</v>
      </c>
      <c r="P9" s="32" t="str">
        <f t="shared" si="3"/>
        <v>HKMST 更快</v>
      </c>
    </row>
    <row r="10" ht="23" customHeight="1" spans="1:16">
      <c r="A10" s="17" t="s">
        <v>21</v>
      </c>
      <c r="B10" s="18">
        <v>24</v>
      </c>
      <c r="C10" s="19" t="s">
        <v>16</v>
      </c>
      <c r="D10" s="20">
        <v>1272</v>
      </c>
      <c r="E10" s="24">
        <f>IF(实例对比!K10="","",实例对比!K10)</f>
        <v>0.305167468264699</v>
      </c>
      <c r="F10" s="24">
        <f>IF(实例对比!O10="","",实例对比!O10)</f>
        <v>0.015574662014842</v>
      </c>
      <c r="G10" s="25">
        <f t="shared" si="0"/>
        <v>-0.948963557277564</v>
      </c>
      <c r="H10" s="26">
        <f>IF(实例对比!M10="","",实例对比!M10)</f>
        <v>127733</v>
      </c>
      <c r="I10" s="26">
        <f>IF(实例对比!Q10="","",实例对比!Q10)</f>
        <v>0</v>
      </c>
      <c r="J10" s="25">
        <f t="shared" si="1"/>
        <v>-1</v>
      </c>
      <c r="K10" s="30">
        <f>IF(实例对比!F10="","",实例对比!F10)</f>
        <v>0.0181316826492548</v>
      </c>
      <c r="L10" s="30">
        <f>IF(实例对比!O10="","",实例对比!O10)</f>
        <v>0.015574662014842</v>
      </c>
      <c r="M10" s="31">
        <f t="shared" si="2"/>
        <v>-0.141025004897595</v>
      </c>
      <c r="N10" s="32" t="str">
        <f>实例对比!E10</f>
        <v>完成</v>
      </c>
      <c r="O10" s="32" t="str">
        <f>实例对比!N10</f>
        <v>完成</v>
      </c>
      <c r="P10" s="32" t="str">
        <f t="shared" si="3"/>
        <v>HKMST 更快</v>
      </c>
    </row>
    <row r="11" ht="23" customHeight="1" spans="1:16">
      <c r="A11" s="17" t="s">
        <v>22</v>
      </c>
      <c r="B11" s="18">
        <v>26</v>
      </c>
      <c r="C11" s="19" t="s">
        <v>16</v>
      </c>
      <c r="D11" s="20">
        <v>937</v>
      </c>
      <c r="E11" s="24">
        <f>IF(实例对比!K11="","",实例对比!K11)</f>
        <v>0.524094237014651</v>
      </c>
      <c r="F11" s="24">
        <f>IF(实例对比!O11="","",实例对比!O11)</f>
        <v>0.019281517714262</v>
      </c>
      <c r="G11" s="25">
        <f t="shared" si="0"/>
        <v>-0.963209826873706</v>
      </c>
      <c r="H11" s="26">
        <f>IF(实例对比!M11="","",实例对比!M11)</f>
        <v>210001</v>
      </c>
      <c r="I11" s="26">
        <f>IF(实例对比!Q11="","",实例对比!Q11)</f>
        <v>0</v>
      </c>
      <c r="J11" s="25">
        <f t="shared" si="1"/>
        <v>-1</v>
      </c>
      <c r="K11" s="30">
        <f>IF(实例对比!F11="","",实例对比!F11)</f>
        <v>0.0273999776691198</v>
      </c>
      <c r="L11" s="30">
        <f>IF(实例对比!O11="","",实例对比!O11)</f>
        <v>0.019281517714262</v>
      </c>
      <c r="M11" s="31">
        <f t="shared" si="2"/>
        <v>-0.296294400415057</v>
      </c>
      <c r="N11" s="32" t="str">
        <f>实例对比!E11</f>
        <v>完成</v>
      </c>
      <c r="O11" s="32" t="str">
        <f>实例对比!N11</f>
        <v>完成</v>
      </c>
      <c r="P11" s="32" t="str">
        <f t="shared" si="3"/>
        <v>HKMST 更快</v>
      </c>
    </row>
    <row r="12" ht="23" customHeight="1" spans="1:16">
      <c r="A12" s="17" t="s">
        <v>23</v>
      </c>
      <c r="B12" s="18">
        <v>29</v>
      </c>
      <c r="C12" s="19" t="s">
        <v>16</v>
      </c>
      <c r="D12" s="20">
        <v>1610</v>
      </c>
      <c r="E12" s="24">
        <f>IF(实例对比!K12="","",实例对比!K12)</f>
        <v>6.94694629870355</v>
      </c>
      <c r="F12" s="24">
        <f>IF(实例对比!O12="","",实例对比!O12)</f>
        <v>0.0159984864294529</v>
      </c>
      <c r="G12" s="25">
        <f t="shared" si="0"/>
        <v>-0.99769704763193</v>
      </c>
      <c r="H12" s="26">
        <f>IF(实例对比!M12="","",实例对比!M12)</f>
        <v>2894751</v>
      </c>
      <c r="I12" s="26">
        <f>IF(实例对比!Q12="","",实例对比!Q12)</f>
        <v>3</v>
      </c>
      <c r="J12" s="25">
        <f t="shared" si="1"/>
        <v>-0.999998963641432</v>
      </c>
      <c r="K12" s="30">
        <f>IF(实例对比!F12="","",实例对比!F12)</f>
        <v>0.0176264084875584</v>
      </c>
      <c r="L12" s="30">
        <f>IF(实例对比!O12="","",实例对比!O12)</f>
        <v>0.0159984864294529</v>
      </c>
      <c r="M12" s="31">
        <f t="shared" si="2"/>
        <v>-0.0923569914571405</v>
      </c>
      <c r="N12" s="32" t="str">
        <f>实例对比!E12</f>
        <v>完成</v>
      </c>
      <c r="O12" s="32" t="str">
        <f>实例对比!N12</f>
        <v>完成</v>
      </c>
      <c r="P12" s="32" t="str">
        <f t="shared" si="3"/>
        <v>HKMST 更快</v>
      </c>
    </row>
    <row r="13" ht="23" customHeight="1" spans="1:16">
      <c r="A13" s="17" t="s">
        <v>24</v>
      </c>
      <c r="B13" s="18">
        <v>29</v>
      </c>
      <c r="C13" s="19" t="s">
        <v>16</v>
      </c>
      <c r="D13" s="20">
        <v>2020</v>
      </c>
      <c r="E13" s="24">
        <f>IF(实例对比!K13="","",实例对比!K13)</f>
        <v>90.0654285382479</v>
      </c>
      <c r="F13" s="24">
        <f>IF(实例对比!O13="","",实例对比!O13)</f>
        <v>0.017220551148057</v>
      </c>
      <c r="G13" s="25">
        <f t="shared" si="0"/>
        <v>-0.999808799542427</v>
      </c>
      <c r="H13" s="26">
        <f>IF(实例对比!M13="","",实例对比!M13)</f>
        <v>35485849</v>
      </c>
      <c r="I13" s="26">
        <f>IF(实例对比!Q13="","",实例对比!Q13)</f>
        <v>11</v>
      </c>
      <c r="J13" s="25">
        <f t="shared" si="1"/>
        <v>-0.99999969001728</v>
      </c>
      <c r="K13" s="30">
        <f>IF(实例对比!F13="","",实例对比!F13)</f>
        <v>0.0331052578985691</v>
      </c>
      <c r="L13" s="30">
        <f>IF(实例对比!O13="","",实例对比!O13)</f>
        <v>0.017220551148057</v>
      </c>
      <c r="M13" s="31">
        <f t="shared" si="2"/>
        <v>-0.479824286497967</v>
      </c>
      <c r="N13" s="32" t="str">
        <f>实例对比!E13</f>
        <v>完成</v>
      </c>
      <c r="O13" s="32" t="str">
        <f>实例对比!N13</f>
        <v>完成</v>
      </c>
      <c r="P13" s="32" t="str">
        <f t="shared" si="3"/>
        <v>HKMST 更快</v>
      </c>
    </row>
    <row r="14" ht="23" customHeight="1" spans="1:16">
      <c r="A14" s="17" t="s">
        <v>25</v>
      </c>
      <c r="B14" s="18">
        <v>29</v>
      </c>
      <c r="C14" s="19" t="s">
        <v>26</v>
      </c>
      <c r="D14" s="20">
        <v>27603</v>
      </c>
      <c r="E14" s="24">
        <f>IF(实例对比!K14="","",实例对比!K14)</f>
        <v>0.0648994520306587</v>
      </c>
      <c r="F14" s="24">
        <f>IF(实例对比!O14="","",实例对比!O14)</f>
        <v>0.0139158144593239</v>
      </c>
      <c r="G14" s="25">
        <f t="shared" si="0"/>
        <v>-0.785578860469422</v>
      </c>
      <c r="H14" s="26">
        <f>IF(实例对比!M14="","",实例对比!M14)</f>
        <v>16378</v>
      </c>
      <c r="I14" s="26">
        <f>IF(实例对比!Q14="","",实例对比!Q14)</f>
        <v>0</v>
      </c>
      <c r="J14" s="25">
        <f t="shared" si="1"/>
        <v>-1</v>
      </c>
      <c r="K14" s="30">
        <f>IF(实例对比!F14="","",实例对比!F14)</f>
        <v>0.0461406782269478</v>
      </c>
      <c r="L14" s="30">
        <f>IF(实例对比!O14="","",实例对比!O14)</f>
        <v>0.0139158144593239</v>
      </c>
      <c r="M14" s="31">
        <f t="shared" si="2"/>
        <v>-0.6984046400255</v>
      </c>
      <c r="N14" s="32" t="str">
        <f>实例对比!E14</f>
        <v>完成</v>
      </c>
      <c r="O14" s="32" t="str">
        <f>实例对比!N14</f>
        <v>完成</v>
      </c>
      <c r="P14" s="32" t="str">
        <f t="shared" si="3"/>
        <v>HKMST 更快</v>
      </c>
    </row>
    <row r="15" ht="23" customHeight="1" spans="1:16">
      <c r="A15" s="17" t="s">
        <v>27</v>
      </c>
      <c r="B15" s="18">
        <v>38</v>
      </c>
      <c r="C15" s="19" t="s">
        <v>26</v>
      </c>
      <c r="D15" s="20">
        <v>6656</v>
      </c>
      <c r="E15" s="24">
        <f>IF(实例对比!K15="","",实例对比!K15)</f>
        <v>0.0311963763087988</v>
      </c>
      <c r="F15" s="24">
        <f>IF(实例对比!O15="","",实例对比!O15)</f>
        <v>0.01360590942204</v>
      </c>
      <c r="G15" s="25">
        <f t="shared" si="0"/>
        <v>-0.563862504819109</v>
      </c>
      <c r="H15" s="26">
        <f>IF(实例对比!M15="","",实例对比!M15)</f>
        <v>5577</v>
      </c>
      <c r="I15" s="26">
        <f>IF(实例对比!Q15="","",实例对比!Q15)</f>
        <v>0</v>
      </c>
      <c r="J15" s="25">
        <f t="shared" si="1"/>
        <v>-1</v>
      </c>
      <c r="K15" s="30">
        <f>IF(实例对比!F15="","",实例对比!F15)</f>
        <v>0.0297895483672619</v>
      </c>
      <c r="L15" s="30">
        <f>IF(实例对比!O15="","",实例对比!O15)</f>
        <v>0.01360590942204</v>
      </c>
      <c r="M15" s="31">
        <f t="shared" si="2"/>
        <v>-0.543265669747695</v>
      </c>
      <c r="N15" s="32" t="str">
        <f>实例对比!E15</f>
        <v>完成</v>
      </c>
      <c r="O15" s="32" t="str">
        <f>实例对比!N15</f>
        <v>完成</v>
      </c>
      <c r="P15" s="32" t="str">
        <f t="shared" si="3"/>
        <v>HKMST 更快</v>
      </c>
    </row>
    <row r="16" ht="23" customHeight="1" spans="1:16">
      <c r="A16" s="17" t="s">
        <v>28</v>
      </c>
      <c r="B16" s="18">
        <v>42</v>
      </c>
      <c r="C16" s="19" t="s">
        <v>16</v>
      </c>
      <c r="D16" s="20">
        <v>699</v>
      </c>
      <c r="E16" s="24" t="str">
        <f>IF(实例对比!K16="","",实例对比!K16)</f>
        <v/>
      </c>
      <c r="F16" s="24">
        <f>IF(实例对比!O16="","",实例对比!O16)</f>
        <v>0.023938000202179</v>
      </c>
      <c r="G16" s="25" t="str">
        <f t="shared" si="0"/>
        <v/>
      </c>
      <c r="H16" s="26" t="str">
        <f>IF(实例对比!M16="","",实例对比!M16)</f>
        <v/>
      </c>
      <c r="I16" s="26">
        <f>IF(实例对比!Q16="","",实例对比!Q16)</f>
        <v>6</v>
      </c>
      <c r="J16" s="25" t="str">
        <f t="shared" si="1"/>
        <v/>
      </c>
      <c r="K16" s="30">
        <f>IF(实例对比!F16="","",实例对比!F16)</f>
        <v>0.0420638434588909</v>
      </c>
      <c r="L16" s="30">
        <f>IF(实例对比!O16="","",实例对比!O16)</f>
        <v>0.023938000202179</v>
      </c>
      <c r="M16" s="31">
        <f t="shared" si="2"/>
        <v>-0.43091267383653</v>
      </c>
      <c r="N16" s="32" t="str">
        <f>实例对比!E16</f>
        <v>完成</v>
      </c>
      <c r="O16" s="32" t="str">
        <f>实例对比!N16</f>
        <v>完成</v>
      </c>
      <c r="P16" s="32" t="str">
        <f t="shared" si="3"/>
        <v>HKMST 更快</v>
      </c>
    </row>
    <row r="17" ht="23" customHeight="1" spans="1:16">
      <c r="A17" s="17" t="s">
        <v>30</v>
      </c>
      <c r="B17" s="18">
        <v>42</v>
      </c>
      <c r="C17" s="19" t="s">
        <v>16</v>
      </c>
      <c r="D17" s="20">
        <v>1273</v>
      </c>
      <c r="E17" s="24">
        <f>IF(实例对比!K17="","",实例对比!K17)</f>
        <v>932.676632354036</v>
      </c>
      <c r="F17" s="24">
        <f>IF(实例对比!O17="","",实例对比!O17)</f>
        <v>0.0130915101617575</v>
      </c>
      <c r="G17" s="25">
        <f t="shared" si="0"/>
        <v>-0.999985963505777</v>
      </c>
      <c r="H17" s="26">
        <f>IF(实例对比!M17="","",实例对比!M17)</f>
        <v>295900192</v>
      </c>
      <c r="I17" s="26">
        <f>IF(实例对比!Q17="","",实例对比!Q17)</f>
        <v>4</v>
      </c>
      <c r="J17" s="25">
        <f t="shared" si="1"/>
        <v>-0.999999986481928</v>
      </c>
      <c r="K17" s="30">
        <f>IF(实例对比!F17="","",实例对比!F17)</f>
        <v>0.0286705363541842</v>
      </c>
      <c r="L17" s="30">
        <f>IF(实例对比!O17="","",实例对比!O17)</f>
        <v>0.0130915101617575</v>
      </c>
      <c r="M17" s="31">
        <f t="shared" si="2"/>
        <v>-0.543381051542591</v>
      </c>
      <c r="N17" s="32" t="str">
        <f>实例对比!E17</f>
        <v>完成</v>
      </c>
      <c r="O17" s="32" t="str">
        <f>实例对比!N17</f>
        <v>完成</v>
      </c>
      <c r="P17" s="32" t="str">
        <f t="shared" si="3"/>
        <v>HKMST 更快</v>
      </c>
    </row>
    <row r="18" ht="23" customHeight="1" spans="1:16">
      <c r="A18" s="17" t="s">
        <v>31</v>
      </c>
      <c r="B18" s="18">
        <v>48</v>
      </c>
      <c r="C18" s="19" t="s">
        <v>16</v>
      </c>
      <c r="D18" s="20">
        <v>10628</v>
      </c>
      <c r="E18" s="24" t="str">
        <f>IF(实例对比!K18="","",实例对比!K18)</f>
        <v/>
      </c>
      <c r="F18" s="24">
        <f>IF(实例对比!O18="","",实例对比!O18)</f>
        <v>0.0327157694846392</v>
      </c>
      <c r="G18" s="25" t="str">
        <f t="shared" si="0"/>
        <v/>
      </c>
      <c r="H18" s="26" t="str">
        <f>IF(实例对比!M18="","",实例对比!M18)</f>
        <v/>
      </c>
      <c r="I18" s="26">
        <f>IF(实例对比!Q18="","",实例对比!Q18)</f>
        <v>281</v>
      </c>
      <c r="J18" s="25" t="str">
        <f t="shared" si="1"/>
        <v/>
      </c>
      <c r="K18" s="30">
        <f>IF(实例对比!F18="","",实例对比!F18)</f>
        <v>0.0784978177398443</v>
      </c>
      <c r="L18" s="30">
        <f>IF(实例对比!O18="","",实例对比!O18)</f>
        <v>0.0327157694846392</v>
      </c>
      <c r="M18" s="31">
        <f t="shared" si="2"/>
        <v>-0.583227019213896</v>
      </c>
      <c r="N18" s="32" t="str">
        <f>实例对比!E18</f>
        <v>完成</v>
      </c>
      <c r="O18" s="32" t="str">
        <f>实例对比!N18</f>
        <v>完成</v>
      </c>
      <c r="P18" s="32" t="str">
        <f t="shared" si="3"/>
        <v>HKMST 更快</v>
      </c>
    </row>
    <row r="19" ht="23" customHeight="1" spans="1:16">
      <c r="A19" s="17" t="s">
        <v>32</v>
      </c>
      <c r="B19" s="18">
        <v>48</v>
      </c>
      <c r="C19" s="19" t="s">
        <v>16</v>
      </c>
      <c r="D19" s="20">
        <v>5046</v>
      </c>
      <c r="E19" s="24" t="str">
        <f>IF(实例对比!K19="","",实例对比!K19)</f>
        <v/>
      </c>
      <c r="F19" s="24">
        <f>IF(实例对比!O19="","",实例对比!O19)</f>
        <v>0.266376098617911</v>
      </c>
      <c r="G19" s="25" t="str">
        <f t="shared" si="0"/>
        <v/>
      </c>
      <c r="H19" s="26" t="str">
        <f>IF(实例对比!M19="","",实例对比!M19)</f>
        <v/>
      </c>
      <c r="I19" s="26">
        <f>IF(实例对比!Q19="","",实例对比!Q19)</f>
        <v>90001</v>
      </c>
      <c r="J19" s="25" t="str">
        <f t="shared" si="1"/>
        <v/>
      </c>
      <c r="K19" s="30">
        <f>IF(实例对比!F19="","",实例对比!F19)</f>
        <v>0.095788698643446</v>
      </c>
      <c r="L19" s="30">
        <f>IF(实例对比!O19="","",实例对比!O19)</f>
        <v>0.266376098617911</v>
      </c>
      <c r="M19" s="31">
        <f t="shared" si="2"/>
        <v>1.7808718814465</v>
      </c>
      <c r="N19" s="32" t="str">
        <f>实例对比!E19</f>
        <v>完成</v>
      </c>
      <c r="O19" s="32" t="str">
        <f>实例对比!N19</f>
        <v>完成</v>
      </c>
      <c r="P19" s="32" t="str">
        <f t="shared" si="3"/>
        <v>Concorde 更快</v>
      </c>
    </row>
    <row r="20" ht="23" customHeight="1" spans="1:16">
      <c r="A20" s="17" t="s">
        <v>33</v>
      </c>
      <c r="B20" s="18">
        <v>48</v>
      </c>
      <c r="C20" s="19" t="s">
        <v>16</v>
      </c>
      <c r="D20" s="20">
        <v>11461</v>
      </c>
      <c r="E20" s="24">
        <f>IF(实例对比!K20="","",实例对比!K20)</f>
        <v>517.543836176395</v>
      </c>
      <c r="F20" s="24">
        <f>IF(实例对比!O20="","",实例对比!O20)</f>
        <v>0.0264820549637079</v>
      </c>
      <c r="G20" s="25">
        <f t="shared" si="0"/>
        <v>-0.999948831281309</v>
      </c>
      <c r="H20" s="26">
        <f>IF(实例对比!M20="","",实例对比!M20)</f>
        <v>137410226</v>
      </c>
      <c r="I20" s="26">
        <f>IF(实例对比!Q20="","",实例对比!Q20)</f>
        <v>36</v>
      </c>
      <c r="J20" s="25">
        <f t="shared" si="1"/>
        <v>-0.999999738010765</v>
      </c>
      <c r="K20" s="30">
        <f>IF(实例对比!F20="","",实例对比!F20)</f>
        <v>0.0326949190348387</v>
      </c>
      <c r="L20" s="30">
        <f>IF(实例对比!O20="","",实例对比!O20)</f>
        <v>0.0264820549637079</v>
      </c>
      <c r="M20" s="31">
        <f t="shared" si="2"/>
        <v>-0.190025369523337</v>
      </c>
      <c r="N20" s="32" t="str">
        <f>实例对比!E20</f>
        <v>完成</v>
      </c>
      <c r="O20" s="32" t="str">
        <f>实例对比!N20</f>
        <v>完成</v>
      </c>
      <c r="P20" s="32" t="str">
        <f t="shared" si="3"/>
        <v>HKMST 更快</v>
      </c>
    </row>
    <row r="21" ht="23" customHeight="1" spans="1:16">
      <c r="A21" s="17" t="s">
        <v>34</v>
      </c>
      <c r="B21" s="18">
        <v>51</v>
      </c>
      <c r="C21" s="19" t="s">
        <v>16</v>
      </c>
      <c r="D21" s="20">
        <v>426</v>
      </c>
      <c r="E21" s="24" t="str">
        <f>IF(实例对比!K21="","",实例对比!K21)</f>
        <v/>
      </c>
      <c r="F21" s="24">
        <f>IF(实例对比!O21="","",实例对比!O21)</f>
        <v>0.0816067457199097</v>
      </c>
      <c r="G21" s="25" t="str">
        <f t="shared" si="0"/>
        <v/>
      </c>
      <c r="H21" s="26" t="str">
        <f>IF(实例对比!M21="","",实例对比!M21)</f>
        <v/>
      </c>
      <c r="I21" s="26">
        <f>IF(实例对比!Q21="","",实例对比!Q21)</f>
        <v>15848</v>
      </c>
      <c r="J21" s="25" t="str">
        <f t="shared" si="1"/>
        <v/>
      </c>
      <c r="K21" s="30">
        <f>IF(实例对比!F21="","",实例对比!F21)</f>
        <v>0.0478767324239016</v>
      </c>
      <c r="L21" s="30">
        <f>IF(实例对比!O21="","",实例对比!O21)</f>
        <v>0.0816067457199097</v>
      </c>
      <c r="M21" s="31">
        <f t="shared" si="2"/>
        <v>0.704517864698072</v>
      </c>
      <c r="N21" s="32" t="str">
        <f>实例对比!E21</f>
        <v>完成</v>
      </c>
      <c r="O21" s="32" t="str">
        <f>实例对比!N21</f>
        <v>完成</v>
      </c>
      <c r="P21" s="32" t="str">
        <f t="shared" si="3"/>
        <v>Concorde 更快</v>
      </c>
    </row>
    <row r="22" ht="23" customHeight="1" spans="1:16">
      <c r="A22" s="17" t="s">
        <v>36</v>
      </c>
      <c r="B22" s="18">
        <v>52</v>
      </c>
      <c r="C22" s="19" t="s">
        <v>16</v>
      </c>
      <c r="D22" s="20">
        <v>7542</v>
      </c>
      <c r="E22" s="24" t="str">
        <f>IF(实例对比!K22="","",实例对比!K22)</f>
        <v/>
      </c>
      <c r="F22" s="24">
        <f>IF(实例对比!O22="","",实例对比!O22)</f>
        <v>0.0217071957886219</v>
      </c>
      <c r="G22" s="25" t="str">
        <f t="shared" si="0"/>
        <v/>
      </c>
      <c r="H22" s="26" t="str">
        <f>IF(实例对比!M22="","",实例对比!M22)</f>
        <v/>
      </c>
      <c r="I22" s="26">
        <f>IF(实例对比!Q22="","",实例对比!Q22)</f>
        <v>0</v>
      </c>
      <c r="J22" s="25" t="str">
        <f t="shared" si="1"/>
        <v/>
      </c>
      <c r="K22" s="30">
        <f>IF(实例对比!F22="","",实例对比!F22)</f>
        <v>0.0555447321385145</v>
      </c>
      <c r="L22" s="30">
        <f>IF(实例对比!O22="","",实例对比!O22)</f>
        <v>0.0217071957886219</v>
      </c>
      <c r="M22" s="31">
        <f t="shared" si="2"/>
        <v>-0.609194338456982</v>
      </c>
      <c r="N22" s="32" t="str">
        <f>实例对比!E22</f>
        <v>完成</v>
      </c>
      <c r="O22" s="32" t="str">
        <f>实例对比!N22</f>
        <v>完成</v>
      </c>
      <c r="P22" s="32" t="str">
        <f t="shared" si="3"/>
        <v>HKMST 更快</v>
      </c>
    </row>
    <row r="23" ht="23" customHeight="1" spans="1:16">
      <c r="A23" s="17" t="s">
        <v>37</v>
      </c>
      <c r="B23" s="18">
        <v>58</v>
      </c>
      <c r="C23" s="19" t="s">
        <v>16</v>
      </c>
      <c r="D23" s="20">
        <v>25395</v>
      </c>
      <c r="E23" s="24" t="str">
        <f>IF(实例对比!K23="","",实例对比!K23)</f>
        <v/>
      </c>
      <c r="F23" s="24">
        <f>IF(实例对比!O23="","",实例对比!O23)</f>
        <v>0.418115036562085</v>
      </c>
      <c r="G23" s="25" t="str">
        <f t="shared" si="0"/>
        <v/>
      </c>
      <c r="H23" s="26" t="str">
        <f>IF(实例对比!M23="","",实例对比!M23)</f>
        <v/>
      </c>
      <c r="I23" s="26">
        <f>IF(实例对比!Q23="","",实例对比!Q23)</f>
        <v>112098</v>
      </c>
      <c r="J23" s="25" t="str">
        <f t="shared" si="1"/>
        <v/>
      </c>
      <c r="K23" s="30">
        <f>IF(实例对比!F23="","",实例对比!F23)</f>
        <v>0.0869555156677961</v>
      </c>
      <c r="L23" s="30">
        <f>IF(实例对比!O23="","",实例对比!O23)</f>
        <v>0.418115036562085</v>
      </c>
      <c r="M23" s="31">
        <f t="shared" si="2"/>
        <v>3.80837855253998</v>
      </c>
      <c r="N23" s="32" t="str">
        <f>实例对比!E23</f>
        <v>完成</v>
      </c>
      <c r="O23" s="32" t="str">
        <f>实例对比!N23</f>
        <v>完成</v>
      </c>
      <c r="P23" s="32" t="str">
        <f t="shared" si="3"/>
        <v>Concorde 更快</v>
      </c>
    </row>
    <row r="24" ht="23" customHeight="1" spans="1:16">
      <c r="A24" s="17" t="s">
        <v>38</v>
      </c>
      <c r="B24" s="18">
        <v>70</v>
      </c>
      <c r="C24" s="19" t="s">
        <v>16</v>
      </c>
      <c r="D24" s="20">
        <v>675</v>
      </c>
      <c r="E24" s="24" t="str">
        <f>IF(实例对比!K24="","",实例对比!K24)</f>
        <v/>
      </c>
      <c r="F24" s="24">
        <f>IF(实例对比!O24="","",实例对比!O24)</f>
        <v>18.7044841926545</v>
      </c>
      <c r="G24" s="25" t="str">
        <f t="shared" si="0"/>
        <v/>
      </c>
      <c r="H24" s="26" t="str">
        <f>IF(实例对比!M24="","",实例对比!M24)</f>
        <v/>
      </c>
      <c r="I24" s="26">
        <f>IF(实例对比!Q24="","",实例对比!Q24)</f>
        <v>5632636</v>
      </c>
      <c r="J24" s="25" t="str">
        <f t="shared" si="1"/>
        <v/>
      </c>
      <c r="K24" s="30">
        <f>IF(实例对比!F24="","",实例对比!F24)</f>
        <v>0.065910154953599</v>
      </c>
      <c r="L24" s="30">
        <f>IF(实例对比!O24="","",实例对比!O24)</f>
        <v>18.7044841926545</v>
      </c>
      <c r="M24" s="31">
        <f t="shared" si="2"/>
        <v>282.787592455556</v>
      </c>
      <c r="N24" s="32" t="str">
        <f>实例对比!E24</f>
        <v>完成</v>
      </c>
      <c r="O24" s="32" t="str">
        <f>实例对比!N24</f>
        <v>完成</v>
      </c>
      <c r="P24" s="32" t="str">
        <f t="shared" si="3"/>
        <v>Concorde 更快</v>
      </c>
    </row>
    <row r="25" ht="23" customHeight="1" spans="1:16">
      <c r="A25" s="17" t="s">
        <v>39</v>
      </c>
      <c r="B25" s="18">
        <v>76</v>
      </c>
      <c r="C25" s="19" t="s">
        <v>16</v>
      </c>
      <c r="D25" s="20">
        <v>538</v>
      </c>
      <c r="E25" s="24" t="str">
        <f>IF(实例对比!K25="","",实例对比!K25)</f>
        <v/>
      </c>
      <c r="F25" s="24">
        <f>IF(实例对比!O25="","",实例对比!O25)</f>
        <v>0.586678186431527</v>
      </c>
      <c r="G25" s="25" t="str">
        <f t="shared" si="0"/>
        <v/>
      </c>
      <c r="H25" s="26" t="str">
        <f>IF(实例对比!M25="","",实例对比!M25)</f>
        <v/>
      </c>
      <c r="I25" s="26">
        <f>IF(实例对比!Q25="","",实例对比!Q25)</f>
        <v>105325</v>
      </c>
      <c r="J25" s="25" t="str">
        <f t="shared" si="1"/>
        <v/>
      </c>
      <c r="K25" s="30">
        <f>IF(实例对比!F25="","",实例对比!F25)</f>
        <v>0.0522380825132132</v>
      </c>
      <c r="L25" s="30">
        <f>IF(实例对比!O25="","",实例对比!O25)</f>
        <v>0.586678186431527</v>
      </c>
      <c r="M25" s="31">
        <f t="shared" si="2"/>
        <v>10.2308522481301</v>
      </c>
      <c r="N25" s="32" t="str">
        <f>实例对比!E25</f>
        <v>完成</v>
      </c>
      <c r="O25" s="32" t="str">
        <f>实例对比!N25</f>
        <v>完成</v>
      </c>
      <c r="P25" s="32" t="str">
        <f t="shared" si="3"/>
        <v>Concorde 更快</v>
      </c>
    </row>
    <row r="26" ht="23" customHeight="1" spans="1:16">
      <c r="A26" s="17" t="s">
        <v>40</v>
      </c>
      <c r="B26" s="18">
        <v>76</v>
      </c>
      <c r="C26" s="19" t="s">
        <v>16</v>
      </c>
      <c r="D26" s="20">
        <v>108159</v>
      </c>
      <c r="E26" s="24" t="str">
        <f>IF(实例对比!K26="","",实例对比!K26)</f>
        <v/>
      </c>
      <c r="F26" s="24" t="str">
        <f>IF(实例对比!O26="","",实例对比!O26)</f>
        <v/>
      </c>
      <c r="G26" s="25" t="str">
        <f t="shared" si="0"/>
        <v/>
      </c>
      <c r="H26" s="26" t="str">
        <f>IF(实例对比!M26="","",实例对比!M26)</f>
        <v/>
      </c>
      <c r="I26" s="26" t="str">
        <f>IF(实例对比!Q26="","",实例对比!Q26)</f>
        <v/>
      </c>
      <c r="J26" s="25" t="str">
        <f t="shared" si="1"/>
        <v/>
      </c>
      <c r="K26" s="30">
        <f>IF(实例对比!F26="","",实例对比!F26)</f>
        <v>0.208613555878401</v>
      </c>
      <c r="L26" s="30" t="str">
        <f>IF(实例对比!O26="","",实例对比!O26)</f>
        <v/>
      </c>
      <c r="M26" s="31" t="str">
        <f t="shared" si="2"/>
        <v/>
      </c>
      <c r="N26" s="32" t="str">
        <f>实例对比!E26</f>
        <v>完成</v>
      </c>
      <c r="O26" s="32" t="str">
        <f>实例对比!N26</f>
        <v>超时</v>
      </c>
      <c r="P26" s="32" t="str">
        <f t="shared" si="3"/>
        <v>不可比</v>
      </c>
    </row>
    <row r="27" ht="23" customHeight="1" spans="1:16">
      <c r="A27" s="17" t="s">
        <v>41</v>
      </c>
      <c r="B27" s="18">
        <v>96</v>
      </c>
      <c r="C27" s="19" t="s">
        <v>16</v>
      </c>
      <c r="D27" s="20">
        <v>55209</v>
      </c>
      <c r="E27" s="24" t="str">
        <f>IF(实例对比!K27="","",实例对比!K27)</f>
        <v/>
      </c>
      <c r="F27" s="24">
        <f>IF(实例对比!O27="","",实例对比!O27)</f>
        <v>7.91012974828482</v>
      </c>
      <c r="G27" s="25" t="str">
        <f t="shared" si="0"/>
        <v/>
      </c>
      <c r="H27" s="26" t="str">
        <f>IF(实例对比!M27="","",实例对比!M27)</f>
        <v/>
      </c>
      <c r="I27" s="26">
        <f>IF(实例对比!Q27="","",实例对比!Q27)</f>
        <v>1672187</v>
      </c>
      <c r="J27" s="25" t="str">
        <f t="shared" si="1"/>
        <v/>
      </c>
      <c r="K27" s="30">
        <f>IF(实例对比!F27="","",实例对比!F27)</f>
        <v>0.212358029559255</v>
      </c>
      <c r="L27" s="30">
        <f>IF(实例对比!O27="","",实例对比!O27)</f>
        <v>7.91012974828482</v>
      </c>
      <c r="M27" s="31">
        <f t="shared" si="2"/>
        <v>36.2490259242947</v>
      </c>
      <c r="N27" s="32" t="str">
        <f>实例对比!E27</f>
        <v>完成</v>
      </c>
      <c r="O27" s="32" t="str">
        <f>实例对比!N27</f>
        <v>完成</v>
      </c>
      <c r="P27" s="32" t="str">
        <f t="shared" si="3"/>
        <v>Concorde 更快</v>
      </c>
    </row>
    <row r="28" ht="23" customHeight="1" spans="1:16">
      <c r="A28" s="17" t="s">
        <v>42</v>
      </c>
      <c r="B28" s="18">
        <v>99</v>
      </c>
      <c r="C28" s="19" t="s">
        <v>16</v>
      </c>
      <c r="D28" s="20">
        <v>1211</v>
      </c>
      <c r="E28" s="24" t="str">
        <f>IF(实例对比!K28="","",实例对比!K28)</f>
        <v/>
      </c>
      <c r="F28" s="24">
        <f>IF(实例对比!O28="","",实例对比!O28)</f>
        <v>0.463359856978059</v>
      </c>
      <c r="G28" s="25" t="str">
        <f t="shared" si="0"/>
        <v/>
      </c>
      <c r="H28" s="26" t="str">
        <f>IF(实例对比!M28="","",实例对比!M28)</f>
        <v/>
      </c>
      <c r="I28" s="26">
        <f>IF(实例对比!Q28="","",实例对比!Q28)</f>
        <v>67911</v>
      </c>
      <c r="J28" s="25" t="str">
        <f t="shared" si="1"/>
        <v/>
      </c>
      <c r="K28" s="30">
        <f>IF(实例对比!F28="","",实例对比!F28)</f>
        <v>1.12165648490191</v>
      </c>
      <c r="L28" s="30">
        <f>IF(实例对比!O28="","",实例对比!O28)</f>
        <v>0.463359856978059</v>
      </c>
      <c r="M28" s="31">
        <f t="shared" si="2"/>
        <v>-0.586896823390113</v>
      </c>
      <c r="N28" s="32" t="str">
        <f>实例对比!E28</f>
        <v>完成</v>
      </c>
      <c r="O28" s="32" t="str">
        <f>实例对比!N28</f>
        <v>完成</v>
      </c>
      <c r="P28" s="32" t="str">
        <f t="shared" si="3"/>
        <v>HKMST 更快</v>
      </c>
    </row>
    <row r="29" ht="23" customHeight="1" spans="1:16">
      <c r="A29" s="17" t="s">
        <v>43</v>
      </c>
      <c r="B29" s="18">
        <v>100</v>
      </c>
      <c r="C29" s="19" t="s">
        <v>16</v>
      </c>
      <c r="D29" s="20">
        <v>21282</v>
      </c>
      <c r="E29" s="24" t="str">
        <f>IF(实例对比!K29="","",实例对比!K29)</f>
        <v/>
      </c>
      <c r="F29" s="24">
        <f>IF(实例对比!O29="","",实例对比!O29)</f>
        <v>806.30711075291</v>
      </c>
      <c r="G29" s="25" t="str">
        <f t="shared" si="0"/>
        <v/>
      </c>
      <c r="H29" s="26" t="str">
        <f>IF(实例对比!M29="","",实例对比!M29)</f>
        <v/>
      </c>
      <c r="I29" s="26">
        <f>IF(实例对比!Q29="","",实例对比!Q29)</f>
        <v>146674028</v>
      </c>
      <c r="J29" s="25" t="str">
        <f t="shared" si="1"/>
        <v/>
      </c>
      <c r="K29" s="30">
        <f>IF(实例对比!F29="","",实例对比!F29)</f>
        <v>0.103080412372947</v>
      </c>
      <c r="L29" s="30">
        <f>IF(实例对比!O29="","",实例对比!O29)</f>
        <v>806.30711075291</v>
      </c>
      <c r="M29" s="31">
        <f t="shared" si="2"/>
        <v>7821.11762828106</v>
      </c>
      <c r="N29" s="32" t="str">
        <f>实例对比!E29</f>
        <v>完成</v>
      </c>
      <c r="O29" s="32" t="str">
        <f>实例对比!N29</f>
        <v>完成</v>
      </c>
      <c r="P29" s="32" t="str">
        <f t="shared" si="3"/>
        <v>Concorde 更快</v>
      </c>
    </row>
    <row r="30" ht="23" customHeight="1" spans="1:16">
      <c r="A30" s="17" t="s">
        <v>44</v>
      </c>
      <c r="B30" s="18">
        <v>100</v>
      </c>
      <c r="C30" s="19" t="s">
        <v>16</v>
      </c>
      <c r="D30" s="20">
        <v>22141</v>
      </c>
      <c r="E30" s="24" t="str">
        <f>IF(实例对比!K30="","",实例对比!K30)</f>
        <v/>
      </c>
      <c r="F30" s="24" t="str">
        <f>IF(实例对比!O30="","",实例对比!O30)</f>
        <v/>
      </c>
      <c r="G30" s="25" t="str">
        <f t="shared" si="0"/>
        <v/>
      </c>
      <c r="H30" s="26" t="str">
        <f>IF(实例对比!M30="","",实例对比!M30)</f>
        <v/>
      </c>
      <c r="I30" s="26" t="str">
        <f>IF(实例对比!Q30="","",实例对比!Q30)</f>
        <v/>
      </c>
      <c r="J30" s="25" t="str">
        <f t="shared" si="1"/>
        <v/>
      </c>
      <c r="K30" s="30">
        <f>IF(实例对比!F30="","",实例对比!F30)</f>
        <v>0.191048955544829</v>
      </c>
      <c r="L30" s="30" t="str">
        <f>IF(实例对比!O30="","",实例对比!O30)</f>
        <v/>
      </c>
      <c r="M30" s="31" t="str">
        <f t="shared" si="2"/>
        <v/>
      </c>
      <c r="N30" s="32" t="str">
        <f>实例对比!E30</f>
        <v>完成</v>
      </c>
      <c r="O30" s="32" t="str">
        <f>实例对比!N30</f>
        <v>超时</v>
      </c>
      <c r="P30" s="32" t="str">
        <f t="shared" si="3"/>
        <v>不可比</v>
      </c>
    </row>
    <row r="31" ht="23" customHeight="1" spans="1:16">
      <c r="A31" s="17" t="s">
        <v>45</v>
      </c>
      <c r="B31" s="18">
        <v>100</v>
      </c>
      <c r="C31" s="19" t="s">
        <v>16</v>
      </c>
      <c r="D31" s="20">
        <v>20749</v>
      </c>
      <c r="E31" s="24" t="str">
        <f>IF(实例对比!K31="","",实例对比!K31)</f>
        <v/>
      </c>
      <c r="F31" s="24">
        <f>IF(实例对比!O31="","",实例对比!O31)</f>
        <v>40.0406234432012</v>
      </c>
      <c r="G31" s="25" t="str">
        <f t="shared" si="0"/>
        <v/>
      </c>
      <c r="H31" s="26" t="str">
        <f>IF(实例对比!M31="","",实例对比!M31)</f>
        <v/>
      </c>
      <c r="I31" s="26">
        <f>IF(实例对比!Q31="","",实例对比!Q31)</f>
        <v>8463763</v>
      </c>
      <c r="J31" s="25" t="str">
        <f t="shared" si="1"/>
        <v/>
      </c>
      <c r="K31" s="30">
        <f>IF(实例对比!F31="","",实例对比!F31)</f>
        <v>0.114910811185837</v>
      </c>
      <c r="L31" s="30">
        <f>IF(实例对比!O31="","",实例对比!O31)</f>
        <v>40.0406234432012</v>
      </c>
      <c r="M31" s="31">
        <f t="shared" si="2"/>
        <v>347.449576066837</v>
      </c>
      <c r="N31" s="32" t="str">
        <f>实例对比!E31</f>
        <v>完成</v>
      </c>
      <c r="O31" s="32" t="str">
        <f>实例对比!N31</f>
        <v>完成</v>
      </c>
      <c r="P31" s="32" t="str">
        <f t="shared" si="3"/>
        <v>Concorde 更快</v>
      </c>
    </row>
    <row r="32" ht="23" customHeight="1" spans="1:16">
      <c r="A32" s="17" t="s">
        <v>46</v>
      </c>
      <c r="B32" s="18">
        <v>100</v>
      </c>
      <c r="C32" s="19" t="s">
        <v>16</v>
      </c>
      <c r="D32" s="20">
        <v>21294</v>
      </c>
      <c r="E32" s="24" t="str">
        <f>IF(实例对比!K32="","",实例对比!K32)</f>
        <v/>
      </c>
      <c r="F32" s="24">
        <f>IF(实例对比!O32="","",实例对比!O32)</f>
        <v>593.617259750143</v>
      </c>
      <c r="G32" s="25" t="str">
        <f t="shared" si="0"/>
        <v/>
      </c>
      <c r="H32" s="26" t="str">
        <f>IF(实例对比!M32="","",实例对比!M32)</f>
        <v/>
      </c>
      <c r="I32" s="26">
        <f>IF(实例对比!Q32="","",实例对比!Q32)</f>
        <v>90688415</v>
      </c>
      <c r="J32" s="25" t="str">
        <f t="shared" si="1"/>
        <v/>
      </c>
      <c r="K32" s="30">
        <f>IF(实例对比!F32="","",实例对比!F32)</f>
        <v>0.148430407047272</v>
      </c>
      <c r="L32" s="30">
        <f>IF(实例对比!O32="","",实例对比!O32)</f>
        <v>593.617259750143</v>
      </c>
      <c r="M32" s="31">
        <f t="shared" si="2"/>
        <v>3998.29685270679</v>
      </c>
      <c r="N32" s="32" t="str">
        <f>实例对比!E32</f>
        <v>完成</v>
      </c>
      <c r="O32" s="32" t="str">
        <f>实例对比!N32</f>
        <v>完成</v>
      </c>
      <c r="P32" s="32" t="str">
        <f t="shared" si="3"/>
        <v>Concorde 更快</v>
      </c>
    </row>
    <row r="33" ht="23" customHeight="1" spans="1:16">
      <c r="A33" s="17" t="s">
        <v>47</v>
      </c>
      <c r="B33" s="18">
        <v>100</v>
      </c>
      <c r="C33" s="19" t="s">
        <v>16</v>
      </c>
      <c r="D33" s="20">
        <v>22068</v>
      </c>
      <c r="E33" s="24" t="str">
        <f>IF(实例对比!K33="","",实例对比!K33)</f>
        <v/>
      </c>
      <c r="F33" s="24" t="str">
        <f>IF(实例对比!O33="","",实例对比!O33)</f>
        <v/>
      </c>
      <c r="G33" s="25" t="str">
        <f t="shared" si="0"/>
        <v/>
      </c>
      <c r="H33" s="26" t="str">
        <f>IF(实例对比!M33="","",实例对比!M33)</f>
        <v/>
      </c>
      <c r="I33" s="26" t="str">
        <f>IF(实例对比!Q33="","",实例对比!Q33)</f>
        <v/>
      </c>
      <c r="J33" s="25" t="str">
        <f t="shared" si="1"/>
        <v/>
      </c>
      <c r="K33" s="30">
        <f>IF(实例对比!F33="","",实例对比!F33)</f>
        <v>0.245778240263462</v>
      </c>
      <c r="L33" s="30" t="str">
        <f>IF(实例对比!O33="","",实例对比!O33)</f>
        <v/>
      </c>
      <c r="M33" s="31" t="str">
        <f t="shared" si="2"/>
        <v/>
      </c>
      <c r="N33" s="32" t="str">
        <f>实例对比!E33</f>
        <v>完成</v>
      </c>
      <c r="O33" s="32" t="str">
        <f>实例对比!N33</f>
        <v>超时</v>
      </c>
      <c r="P33" s="32" t="str">
        <f t="shared" si="3"/>
        <v>不可比</v>
      </c>
    </row>
    <row r="34" ht="23" customHeight="1" spans="1:16">
      <c r="A34" s="17" t="s">
        <v>48</v>
      </c>
      <c r="B34" s="18">
        <v>100</v>
      </c>
      <c r="C34" s="19" t="s">
        <v>16</v>
      </c>
      <c r="D34" s="20">
        <v>7910</v>
      </c>
      <c r="E34" s="24" t="str">
        <f>IF(实例对比!K34="","",实例对比!K34)</f>
        <v/>
      </c>
      <c r="F34" s="24">
        <f>IF(实例对比!O34="","",实例对比!O34)</f>
        <v>2.05701260454953</v>
      </c>
      <c r="G34" s="25" t="str">
        <f t="shared" si="0"/>
        <v/>
      </c>
      <c r="H34" s="26" t="str">
        <f>IF(实例对比!M34="","",实例对比!M34)</f>
        <v/>
      </c>
      <c r="I34" s="26">
        <f>IF(实例对比!Q34="","",实例对比!Q34)</f>
        <v>350903</v>
      </c>
      <c r="J34" s="25" t="str">
        <f t="shared" si="1"/>
        <v/>
      </c>
      <c r="K34" s="30">
        <f>IF(实例对比!F34="","",实例对比!F34)</f>
        <v>0.0842797365039587</v>
      </c>
      <c r="L34" s="30">
        <f>IF(实例对比!O34="","",实例对比!O34)</f>
        <v>2.05701260454953</v>
      </c>
      <c r="M34" s="31">
        <f t="shared" si="2"/>
        <v>23.4069653024237</v>
      </c>
      <c r="N34" s="32" t="str">
        <f>实例对比!E34</f>
        <v>完成</v>
      </c>
      <c r="O34" s="32" t="str">
        <f>实例对比!N34</f>
        <v>完成</v>
      </c>
      <c r="P34" s="32" t="str">
        <f t="shared" si="3"/>
        <v>Concorde 更快</v>
      </c>
    </row>
    <row r="35" ht="23" customHeight="1" spans="1:16">
      <c r="A35" s="17" t="s">
        <v>49</v>
      </c>
      <c r="B35" s="18">
        <v>101</v>
      </c>
      <c r="C35" s="19" t="s">
        <v>16</v>
      </c>
      <c r="D35" s="20">
        <v>629</v>
      </c>
      <c r="E35" s="24" t="str">
        <f>IF(实例对比!K35="","",实例对比!K35)</f>
        <v/>
      </c>
      <c r="F35" s="24">
        <f>IF(实例对比!O35="","",实例对比!O35)</f>
        <v>12.1827733516693</v>
      </c>
      <c r="G35" s="25" t="str">
        <f t="shared" si="0"/>
        <v/>
      </c>
      <c r="H35" s="26" t="str">
        <f>IF(实例对比!M35="","",实例对比!M35)</f>
        <v/>
      </c>
      <c r="I35" s="26">
        <f>IF(实例对比!Q35="","",实例对比!Q35)</f>
        <v>2747059</v>
      </c>
      <c r="J35" s="25" t="str">
        <f t="shared" si="1"/>
        <v/>
      </c>
      <c r="K35" s="30">
        <f>IF(实例对比!F35="","",实例对比!F35)</f>
        <v>0.0874697268009186</v>
      </c>
      <c r="L35" s="30">
        <f>IF(实例对比!O35="","",实例对比!O35)</f>
        <v>12.1827733516693</v>
      </c>
      <c r="M35" s="31">
        <f t="shared" si="2"/>
        <v>138.279883420664</v>
      </c>
      <c r="N35" s="32" t="str">
        <f>实例对比!E35</f>
        <v>完成</v>
      </c>
      <c r="O35" s="32" t="str">
        <f>实例对比!N35</f>
        <v>完成</v>
      </c>
      <c r="P35" s="32" t="str">
        <f t="shared" si="3"/>
        <v>Concorde 更快</v>
      </c>
    </row>
    <row r="36" ht="23" customHeight="1" spans="1:16">
      <c r="A36" s="17" t="s">
        <v>50</v>
      </c>
      <c r="B36" s="18">
        <v>105</v>
      </c>
      <c r="C36" s="19" t="s">
        <v>16</v>
      </c>
      <c r="D36" s="20">
        <v>14379</v>
      </c>
      <c r="E36" s="24" t="str">
        <f>IF(实例对比!K36="","",实例对比!K36)</f>
        <v/>
      </c>
      <c r="F36" s="24">
        <f>IF(实例对比!O36="","",实例对比!O36)</f>
        <v>0.16162608936429</v>
      </c>
      <c r="G36" s="25" t="str">
        <f t="shared" si="0"/>
        <v/>
      </c>
      <c r="H36" s="26" t="str">
        <f>IF(实例对比!M36="","",实例对比!M36)</f>
        <v/>
      </c>
      <c r="I36" s="26">
        <f>IF(实例对比!Q36="","",实例对比!Q36)</f>
        <v>225</v>
      </c>
      <c r="J36" s="25" t="str">
        <f t="shared" si="1"/>
        <v/>
      </c>
      <c r="K36" s="30">
        <f>IF(实例对比!F36="","",实例对比!F36)</f>
        <v>0.0863351225852966</v>
      </c>
      <c r="L36" s="30">
        <f>IF(实例对比!O36="","",实例对比!O36)</f>
        <v>0.16162608936429</v>
      </c>
      <c r="M36" s="31">
        <f t="shared" si="2"/>
        <v>0.872078066543637</v>
      </c>
      <c r="N36" s="32" t="str">
        <f>实例对比!E36</f>
        <v>完成</v>
      </c>
      <c r="O36" s="32" t="str">
        <f>实例对比!N36</f>
        <v>完成</v>
      </c>
      <c r="P36" s="32" t="str">
        <f t="shared" si="3"/>
        <v>Concorde 更快</v>
      </c>
    </row>
    <row r="37" ht="23" customHeight="1" spans="1:16">
      <c r="A37" s="17" t="s">
        <v>51</v>
      </c>
      <c r="B37" s="18">
        <v>107</v>
      </c>
      <c r="C37" s="19" t="s">
        <v>16</v>
      </c>
      <c r="D37" s="20">
        <v>44303</v>
      </c>
      <c r="E37" s="24" t="str">
        <f>IF(实例对比!K37="","",实例对比!K37)</f>
        <v/>
      </c>
      <c r="F37" s="24" t="str">
        <f>IF(实例对比!O37="","",实例对比!O37)</f>
        <v/>
      </c>
      <c r="G37" s="25" t="str">
        <f t="shared" si="0"/>
        <v/>
      </c>
      <c r="H37" s="26" t="str">
        <f>IF(实例对比!M37="","",实例对比!M37)</f>
        <v/>
      </c>
      <c r="I37" s="26" t="str">
        <f>IF(实例对比!Q37="","",实例对比!Q37)</f>
        <v/>
      </c>
      <c r="J37" s="25" t="str">
        <f t="shared" si="1"/>
        <v/>
      </c>
      <c r="K37" s="30">
        <f>IF(实例对比!F37="","",实例对比!F37)</f>
        <v>0.154474977403879</v>
      </c>
      <c r="L37" s="30" t="str">
        <f>IF(实例对比!O37="","",实例对比!O37)</f>
        <v/>
      </c>
      <c r="M37" s="31" t="str">
        <f t="shared" si="2"/>
        <v/>
      </c>
      <c r="N37" s="32" t="str">
        <f>实例对比!E37</f>
        <v>完成</v>
      </c>
      <c r="O37" s="32" t="str">
        <f>实例对比!N37</f>
        <v>超时</v>
      </c>
      <c r="P37" s="32" t="str">
        <f t="shared" si="3"/>
        <v>不可比</v>
      </c>
    </row>
    <row r="38" ht="23" customHeight="1" spans="1:16">
      <c r="A38" s="17" t="s">
        <v>52</v>
      </c>
      <c r="B38" s="18">
        <v>120</v>
      </c>
      <c r="C38" s="19" t="s">
        <v>16</v>
      </c>
      <c r="D38" s="20">
        <v>6942</v>
      </c>
      <c r="E38" s="24" t="str">
        <f>IF(实例对比!K38="","",实例对比!K38)</f>
        <v/>
      </c>
      <c r="F38" s="24" t="str">
        <f>IF(实例对比!O38="","",实例对比!O38)</f>
        <v/>
      </c>
      <c r="G38" s="25" t="str">
        <f t="shared" si="0"/>
        <v/>
      </c>
      <c r="H38" s="26" t="str">
        <f>IF(实例对比!M38="","",实例对比!M38)</f>
        <v/>
      </c>
      <c r="I38" s="26" t="str">
        <f>IF(实例对比!Q38="","",实例对比!Q38)</f>
        <v/>
      </c>
      <c r="J38" s="25" t="str">
        <f t="shared" si="1"/>
        <v/>
      </c>
      <c r="K38" s="30">
        <f>IF(实例对比!F38="","",实例对比!F38)</f>
        <v>0.169621527194977</v>
      </c>
      <c r="L38" s="30" t="str">
        <f>IF(实例对比!O38="","",实例对比!O38)</f>
        <v/>
      </c>
      <c r="M38" s="31" t="str">
        <f t="shared" si="2"/>
        <v/>
      </c>
      <c r="N38" s="32" t="str">
        <f>实例对比!E38</f>
        <v>完成</v>
      </c>
      <c r="O38" s="32" t="str">
        <f>实例对比!N38</f>
        <v>超时</v>
      </c>
      <c r="P38" s="32" t="str">
        <f t="shared" si="3"/>
        <v>不可比</v>
      </c>
    </row>
    <row r="39" ht="23" customHeight="1" spans="1:16">
      <c r="A39" s="17" t="s">
        <v>53</v>
      </c>
      <c r="B39" s="18">
        <v>124</v>
      </c>
      <c r="C39" s="19" t="s">
        <v>16</v>
      </c>
      <c r="D39" s="20">
        <v>59030</v>
      </c>
      <c r="E39" s="24" t="str">
        <f>IF(实例对比!K39="","",实例对比!K39)</f>
        <v/>
      </c>
      <c r="F39" s="24">
        <f>IF(实例对比!O39="","",实例对比!O39)</f>
        <v>4.0410657953471</v>
      </c>
      <c r="G39" s="25" t="str">
        <f t="shared" si="0"/>
        <v/>
      </c>
      <c r="H39" s="26" t="str">
        <f>IF(实例对比!M39="","",实例对比!M39)</f>
        <v/>
      </c>
      <c r="I39" s="26">
        <f>IF(实例对比!Q39="","",实例对比!Q39)</f>
        <v>487141</v>
      </c>
      <c r="J39" s="25" t="str">
        <f t="shared" si="1"/>
        <v/>
      </c>
      <c r="K39" s="30">
        <f>IF(实例对比!F39="","",实例对比!F39)</f>
        <v>0.492396626621485</v>
      </c>
      <c r="L39" s="30">
        <f>IF(实例对比!O39="","",实例对比!O39)</f>
        <v>4.0410657953471</v>
      </c>
      <c r="M39" s="31">
        <f t="shared" si="2"/>
        <v>7.20693233232393</v>
      </c>
      <c r="N39" s="32" t="str">
        <f>实例对比!E39</f>
        <v>完成</v>
      </c>
      <c r="O39" s="32" t="str">
        <f>实例对比!N39</f>
        <v>完成</v>
      </c>
      <c r="P39" s="32" t="str">
        <f t="shared" si="3"/>
        <v>Concorde 更快</v>
      </c>
    </row>
    <row r="40" ht="23" customHeight="1" spans="1:16">
      <c r="A40" s="17" t="s">
        <v>54</v>
      </c>
      <c r="B40" s="18">
        <v>127</v>
      </c>
      <c r="C40" s="19" t="s">
        <v>16</v>
      </c>
      <c r="D40" s="20">
        <v>118282</v>
      </c>
      <c r="E40" s="24" t="str">
        <f>IF(实例对比!K40="","",实例对比!K40)</f>
        <v/>
      </c>
      <c r="F40" s="24" t="str">
        <f>IF(实例对比!O40="","",实例对比!O40)</f>
        <v/>
      </c>
      <c r="G40" s="25" t="str">
        <f t="shared" si="0"/>
        <v/>
      </c>
      <c r="H40" s="26" t="str">
        <f>IF(实例对比!M40="","",实例对比!M40)</f>
        <v/>
      </c>
      <c r="I40" s="26" t="str">
        <f>IF(实例对比!Q40="","",实例对比!Q40)</f>
        <v/>
      </c>
      <c r="J40" s="25" t="str">
        <f t="shared" si="1"/>
        <v/>
      </c>
      <c r="K40" s="30">
        <f>IF(实例对比!F40="","",实例对比!F40)</f>
        <v>0.24913277104497</v>
      </c>
      <c r="L40" s="30" t="str">
        <f>IF(实例对比!O40="","",实例对比!O40)</f>
        <v/>
      </c>
      <c r="M40" s="31" t="str">
        <f t="shared" si="2"/>
        <v/>
      </c>
      <c r="N40" s="32" t="str">
        <f>实例对比!E40</f>
        <v>完成</v>
      </c>
      <c r="O40" s="32" t="str">
        <f>实例对比!N40</f>
        <v>超时</v>
      </c>
      <c r="P40" s="32" t="str">
        <f t="shared" si="3"/>
        <v>不可比</v>
      </c>
    </row>
    <row r="41" ht="23" customHeight="1" spans="1:16">
      <c r="A41" s="17" t="s">
        <v>55</v>
      </c>
      <c r="B41" s="18">
        <v>130</v>
      </c>
      <c r="C41" s="19" t="s">
        <v>16</v>
      </c>
      <c r="D41" s="20">
        <v>6110</v>
      </c>
      <c r="E41" s="24" t="str">
        <f>IF(实例对比!K41="","",实例对比!K41)</f>
        <v/>
      </c>
      <c r="F41" s="24" t="str">
        <f>IF(实例对比!O41="","",实例对比!O41)</f>
        <v/>
      </c>
      <c r="G41" s="25" t="str">
        <f t="shared" si="0"/>
        <v/>
      </c>
      <c r="H41" s="26" t="str">
        <f>IF(实例对比!M41="","",实例对比!M41)</f>
        <v/>
      </c>
      <c r="I41" s="26" t="str">
        <f>IF(实例对比!Q41="","",实例对比!Q41)</f>
        <v/>
      </c>
      <c r="J41" s="25" t="str">
        <f t="shared" si="1"/>
        <v/>
      </c>
      <c r="K41" s="30">
        <f>IF(实例对比!F41="","",实例对比!F41)</f>
        <v>0.278860088437796</v>
      </c>
      <c r="L41" s="30" t="str">
        <f>IF(实例对比!O41="","",实例对比!O41)</f>
        <v/>
      </c>
      <c r="M41" s="31" t="str">
        <f t="shared" si="2"/>
        <v/>
      </c>
      <c r="N41" s="32" t="str">
        <f>实例对比!E41</f>
        <v>完成</v>
      </c>
      <c r="O41" s="32" t="str">
        <f>实例对比!N41</f>
        <v>超时</v>
      </c>
      <c r="P41" s="32" t="str">
        <f t="shared" si="3"/>
        <v>不可比</v>
      </c>
    </row>
    <row r="42" ht="23" customHeight="1" spans="1:16">
      <c r="A42" s="17" t="s">
        <v>56</v>
      </c>
      <c r="B42" s="18">
        <v>131</v>
      </c>
      <c r="C42" s="19" t="s">
        <v>57</v>
      </c>
      <c r="D42" s="20">
        <v>564</v>
      </c>
      <c r="E42" s="24" t="str">
        <f>IF(实例对比!K42="","",实例对比!K42)</f>
        <v/>
      </c>
      <c r="F42" s="24" t="str">
        <f>IF(实例对比!O42="","",实例对比!O42)</f>
        <v/>
      </c>
      <c r="G42" s="25" t="str">
        <f t="shared" si="0"/>
        <v/>
      </c>
      <c r="H42" s="26" t="str">
        <f>IF(实例对比!M42="","",实例对比!M42)</f>
        <v/>
      </c>
      <c r="I42" s="26" t="str">
        <f>IF(实例对比!Q42="","",实例对比!Q42)</f>
        <v/>
      </c>
      <c r="J42" s="25" t="str">
        <f t="shared" si="1"/>
        <v/>
      </c>
      <c r="K42" s="30">
        <f>IF(实例对比!F42="","",实例对比!F42)</f>
        <v>0.476208850741386</v>
      </c>
      <c r="L42" s="30" t="str">
        <f>IF(实例对比!O42="","",实例对比!O42)</f>
        <v/>
      </c>
      <c r="M42" s="31" t="str">
        <f t="shared" si="2"/>
        <v/>
      </c>
      <c r="N42" s="32" t="str">
        <f>实例对比!E42</f>
        <v>完成</v>
      </c>
      <c r="O42" s="32" t="str">
        <f>实例对比!N42</f>
        <v>超时</v>
      </c>
      <c r="P42" s="32" t="str">
        <f t="shared" si="3"/>
        <v>不可比</v>
      </c>
    </row>
    <row r="43" ht="23" customHeight="1" spans="1:16">
      <c r="A43" s="17" t="s">
        <v>58</v>
      </c>
      <c r="B43" s="18">
        <v>136</v>
      </c>
      <c r="C43" s="19" t="s">
        <v>16</v>
      </c>
      <c r="D43" s="20">
        <v>96772</v>
      </c>
      <c r="E43" s="24" t="str">
        <f>IF(实例对比!K43="","",实例对比!K43)</f>
        <v/>
      </c>
      <c r="F43" s="24" t="str">
        <f>IF(实例对比!O43="","",实例对比!O43)</f>
        <v/>
      </c>
      <c r="G43" s="25" t="str">
        <f t="shared" si="0"/>
        <v/>
      </c>
      <c r="H43" s="26" t="str">
        <f>IF(实例对比!M43="","",实例对比!M43)</f>
        <v/>
      </c>
      <c r="I43" s="26" t="str">
        <f>IF(实例对比!Q43="","",实例对比!Q43)</f>
        <v/>
      </c>
      <c r="J43" s="25" t="str">
        <f t="shared" si="1"/>
        <v/>
      </c>
      <c r="K43" s="30">
        <f>IF(实例对比!F43="","",实例对比!F43)</f>
        <v>0.67131388746202</v>
      </c>
      <c r="L43" s="30" t="str">
        <f>IF(实例对比!O43="","",实例对比!O43)</f>
        <v/>
      </c>
      <c r="M43" s="31" t="str">
        <f t="shared" si="2"/>
        <v/>
      </c>
      <c r="N43" s="32" t="str">
        <f>实例对比!E43</f>
        <v>完成</v>
      </c>
      <c r="O43" s="32" t="str">
        <f>实例对比!N43</f>
        <v>超时</v>
      </c>
      <c r="P43" s="32" t="str">
        <f t="shared" si="3"/>
        <v>不可比</v>
      </c>
    </row>
    <row r="44" ht="23" customHeight="1" spans="1:16">
      <c r="A44" s="17" t="s">
        <v>59</v>
      </c>
      <c r="B44" s="18">
        <v>137</v>
      </c>
      <c r="C44" s="19" t="s">
        <v>16</v>
      </c>
      <c r="D44" s="20">
        <v>69853</v>
      </c>
      <c r="E44" s="24" t="str">
        <f>IF(实例对比!K44="","",实例对比!K44)</f>
        <v/>
      </c>
      <c r="F44" s="24">
        <f>IF(实例对比!O44="","",实例对比!O44)</f>
        <v>445.028303332627</v>
      </c>
      <c r="G44" s="25" t="str">
        <f t="shared" si="0"/>
        <v/>
      </c>
      <c r="H44" s="26" t="str">
        <f>IF(实例对比!M44="","",实例对比!M44)</f>
        <v/>
      </c>
      <c r="I44" s="26">
        <f>IF(实例对比!Q44="","",实例对比!Q44)</f>
        <v>16170127</v>
      </c>
      <c r="J44" s="25" t="str">
        <f t="shared" si="1"/>
        <v/>
      </c>
      <c r="K44" s="30">
        <f>IF(实例对比!F44="","",实例对比!F44)</f>
        <v>0.444573819637299</v>
      </c>
      <c r="L44" s="30">
        <f>IF(实例对比!O44="","",实例对比!O44)</f>
        <v>445.028303332627</v>
      </c>
      <c r="M44" s="31">
        <f t="shared" si="2"/>
        <v>1000.0222907316</v>
      </c>
      <c r="N44" s="32" t="str">
        <f>实例对比!E44</f>
        <v>完成</v>
      </c>
      <c r="O44" s="32" t="str">
        <f>实例对比!N44</f>
        <v>完成</v>
      </c>
      <c r="P44" s="32" t="str">
        <f t="shared" si="3"/>
        <v>Concorde 更快</v>
      </c>
    </row>
    <row r="45" ht="23" customHeight="1" spans="1:16">
      <c r="A45" s="17" t="s">
        <v>60</v>
      </c>
      <c r="B45" s="18">
        <v>144</v>
      </c>
      <c r="C45" s="19" t="s">
        <v>16</v>
      </c>
      <c r="D45" s="20">
        <v>58537</v>
      </c>
      <c r="E45" s="24" t="str">
        <f>IF(实例对比!K45="","",实例对比!K45)</f>
        <v/>
      </c>
      <c r="F45" s="24" t="str">
        <f>IF(实例对比!O45="","",实例对比!O45)</f>
        <v/>
      </c>
      <c r="G45" s="25" t="str">
        <f t="shared" si="0"/>
        <v/>
      </c>
      <c r="H45" s="26" t="str">
        <f>IF(实例对比!M45="","",实例对比!M45)</f>
        <v/>
      </c>
      <c r="I45" s="26" t="str">
        <f>IF(实例对比!Q45="","",实例对比!Q45)</f>
        <v/>
      </c>
      <c r="J45" s="25" t="str">
        <f t="shared" si="1"/>
        <v/>
      </c>
      <c r="K45" s="30">
        <f>IF(实例对比!F45="","",实例对比!F45)</f>
        <v>0.295374676585197</v>
      </c>
      <c r="L45" s="30" t="str">
        <f>IF(实例对比!O45="","",实例对比!O45)</f>
        <v/>
      </c>
      <c r="M45" s="31" t="str">
        <f t="shared" si="2"/>
        <v/>
      </c>
      <c r="N45" s="32" t="str">
        <f>实例对比!E45</f>
        <v>完成</v>
      </c>
      <c r="O45" s="32" t="str">
        <f>实例对比!N45</f>
        <v>超时</v>
      </c>
      <c r="P45" s="32" t="str">
        <f t="shared" si="3"/>
        <v>不可比</v>
      </c>
    </row>
    <row r="46" ht="23" customHeight="1" spans="1:16">
      <c r="A46" s="17" t="s">
        <v>61</v>
      </c>
      <c r="B46" s="18">
        <v>150</v>
      </c>
      <c r="C46" s="19" t="s">
        <v>16</v>
      </c>
      <c r="D46" s="20">
        <v>6528</v>
      </c>
      <c r="E46" s="24" t="str">
        <f>IF(实例对比!K46="","",实例对比!K46)</f>
        <v/>
      </c>
      <c r="F46" s="24" t="str">
        <f>IF(实例对比!O46="","",实例对比!O46)</f>
        <v/>
      </c>
      <c r="G46" s="25" t="str">
        <f t="shared" si="0"/>
        <v/>
      </c>
      <c r="H46" s="26" t="str">
        <f>IF(实例对比!M46="","",实例对比!M46)</f>
        <v/>
      </c>
      <c r="I46" s="26" t="str">
        <f>IF(实例对比!Q46="","",实例对比!Q46)</f>
        <v/>
      </c>
      <c r="J46" s="25" t="str">
        <f t="shared" si="1"/>
        <v/>
      </c>
      <c r="K46" s="30">
        <f>IF(实例对比!F46="","",实例对比!F46)</f>
        <v>0.366124533116817</v>
      </c>
      <c r="L46" s="30" t="str">
        <f>IF(实例对比!O46="","",实例对比!O46)</f>
        <v/>
      </c>
      <c r="M46" s="31" t="str">
        <f t="shared" si="2"/>
        <v/>
      </c>
      <c r="N46" s="32" t="str">
        <f>实例对比!E46</f>
        <v>完成</v>
      </c>
      <c r="O46" s="32" t="str">
        <f>实例对比!N46</f>
        <v>超时</v>
      </c>
      <c r="P46" s="32" t="str">
        <f t="shared" si="3"/>
        <v>不可比</v>
      </c>
    </row>
    <row r="47" ht="23" customHeight="1" spans="1:16">
      <c r="A47" s="17" t="s">
        <v>62</v>
      </c>
      <c r="B47" s="18">
        <v>150</v>
      </c>
      <c r="C47" s="19" t="s">
        <v>16</v>
      </c>
      <c r="D47" s="20">
        <v>26524</v>
      </c>
      <c r="E47" s="24" t="str">
        <f>IF(实例对比!K47="","",实例对比!K47)</f>
        <v/>
      </c>
      <c r="F47" s="24" t="str">
        <f>IF(实例对比!O47="","",实例对比!O47)</f>
        <v/>
      </c>
      <c r="G47" s="25" t="str">
        <f t="shared" si="0"/>
        <v/>
      </c>
      <c r="H47" s="26" t="str">
        <f>IF(实例对比!M47="","",实例对比!M47)</f>
        <v/>
      </c>
      <c r="I47" s="26" t="str">
        <f>IF(实例对比!Q47="","",实例对比!Q47)</f>
        <v/>
      </c>
      <c r="J47" s="25" t="str">
        <f t="shared" si="1"/>
        <v/>
      </c>
      <c r="K47" s="30">
        <f>IF(实例对比!F47="","",实例对比!F47)</f>
        <v>0.691833760589361</v>
      </c>
      <c r="L47" s="30" t="str">
        <f>IF(实例对比!O47="","",实例对比!O47)</f>
        <v/>
      </c>
      <c r="M47" s="31" t="str">
        <f t="shared" si="2"/>
        <v/>
      </c>
      <c r="N47" s="32" t="str">
        <f>实例对比!E47</f>
        <v>完成</v>
      </c>
      <c r="O47" s="32" t="str">
        <f>实例对比!N47</f>
        <v>超时</v>
      </c>
      <c r="P47" s="32" t="str">
        <f t="shared" si="3"/>
        <v>不可比</v>
      </c>
    </row>
  </sheetData>
  <mergeCells count="8">
    <mergeCell ref="A1:P1"/>
    <mergeCell ref="A2:P2"/>
    <mergeCell ref="E4:J4"/>
    <mergeCell ref="K4:P4"/>
    <mergeCell ref="A4:A5"/>
    <mergeCell ref="B4:B5"/>
    <mergeCell ref="C4:C5"/>
    <mergeCell ref="D4:D5"/>
  </mergeCells>
  <conditionalFormatting sqref="G6:G47">
    <cfRule type="cellIs" dxfId="0" priority="5" operator="lessThan">
      <formula>0</formula>
    </cfRule>
    <cfRule type="cellIs" dxfId="1" priority="6" operator="greaterThan">
      <formula>0</formula>
    </cfRule>
  </conditionalFormatting>
  <conditionalFormatting sqref="J6:J47">
    <cfRule type="cellIs" dxfId="0" priority="7" operator="lessThan">
      <formula>0</formula>
    </cfRule>
    <cfRule type="cellIs" dxfId="1" priority="8" operator="greaterThan">
      <formula>0</formula>
    </cfRule>
  </conditionalFormatting>
  <conditionalFormatting sqref="M6:M47">
    <cfRule type="cellIs" dxfId="0" priority="9" operator="lessThan">
      <formula>0</formula>
    </cfRule>
    <cfRule type="cellIs" dxfId="1" priority="10" operator="greaterThan">
      <formula>0</formula>
    </cfRule>
  </conditionalFormatting>
  <printOptions horizontalCentered="1"/>
  <pageMargins left="0.75" right="0.75" top="1" bottom="1" header="0.5" footer="0.5"/>
  <pageSetup paperSize="1" fitToHeight="0" orientation="landscape"/>
  <headerFooter>
    <oddHeader>&amp;CHKMST 相对 07-26-MST 与 Concorde 的逐实例变化</oddHeader>
    <oddFooter>&amp;R第 &amp;P / &amp;N 页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0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5" customWidth="1"/>
    <col min="2" max="2" width="27" customWidth="1"/>
    <col min="3" max="3" width="24" customWidth="1"/>
    <col min="4" max="4" width="42" customWidth="1"/>
    <col min="5" max="5" width="24" customWidth="1"/>
    <col min="6" max="8" width="10" customWidth="1"/>
  </cols>
  <sheetData>
    <row r="1" ht="30" customHeight="1" spans="1:1">
      <c r="A1" s="1" t="s">
        <v>77</v>
      </c>
    </row>
    <row r="2" ht="42" customHeight="1" spans="1:1">
      <c r="A2" s="2" t="s">
        <v>78</v>
      </c>
    </row>
    <row r="3" ht="32" customHeight="1" spans="1:8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17</v>
      </c>
      <c r="G3" s="3" t="s">
        <v>29</v>
      </c>
      <c r="H3" s="3" t="s">
        <v>35</v>
      </c>
    </row>
    <row r="4" ht="34" customHeight="1" spans="1:8">
      <c r="A4" s="4" t="s">
        <v>6</v>
      </c>
      <c r="B4" s="4" t="s">
        <v>84</v>
      </c>
      <c r="C4" s="4" t="s">
        <v>85</v>
      </c>
      <c r="D4" s="4" t="s">
        <v>86</v>
      </c>
      <c r="E4" s="4" t="s">
        <v>87</v>
      </c>
      <c r="F4" s="12">
        <f>COUNTIF(实例对比!E6:E47,"完成")</f>
        <v>42</v>
      </c>
      <c r="G4" s="12">
        <f>COUNTIF(实例对比!E6:E47,"超时")</f>
        <v>0</v>
      </c>
      <c r="H4" s="12">
        <f>COUNTIF(实例对比!E6:E47,"缺失")</f>
        <v>0</v>
      </c>
    </row>
    <row r="5" ht="34" customHeight="1" spans="1:8">
      <c r="A5" s="5" t="s">
        <v>88</v>
      </c>
      <c r="B5" s="5" t="s">
        <v>89</v>
      </c>
      <c r="C5" s="5" t="s">
        <v>90</v>
      </c>
      <c r="D5" s="5" t="s">
        <v>91</v>
      </c>
      <c r="E5" s="5" t="s">
        <v>92</v>
      </c>
      <c r="F5" s="13">
        <f>COUNTIF(实例对比!G6:G47,"完成")</f>
        <v>10</v>
      </c>
      <c r="G5" s="13">
        <f>COUNTIF(实例对比!G6:G47,"超时")</f>
        <v>8</v>
      </c>
      <c r="H5" s="13">
        <f>COUNTIF(实例对比!G6:G47,"缺失")</f>
        <v>24</v>
      </c>
    </row>
    <row r="6" ht="34" customHeight="1" spans="1:8">
      <c r="A6" s="6" t="s">
        <v>93</v>
      </c>
      <c r="B6" s="6" t="s">
        <v>94</v>
      </c>
      <c r="C6" s="6" t="s">
        <v>95</v>
      </c>
      <c r="D6" s="6" t="s">
        <v>96</v>
      </c>
      <c r="E6" s="6" t="s">
        <v>97</v>
      </c>
      <c r="F6" s="14">
        <f>COUNTIF(实例对比!J6:J47,"完成")</f>
        <v>12</v>
      </c>
      <c r="G6" s="14">
        <f>COUNTIF(实例对比!J6:J47,"超时")</f>
        <v>3</v>
      </c>
      <c r="H6" s="14">
        <f>COUNTIF(实例对比!J6:J47,"缺失")</f>
        <v>27</v>
      </c>
    </row>
    <row r="7" ht="34" customHeight="1" spans="1:8">
      <c r="A7" s="7" t="s">
        <v>98</v>
      </c>
      <c r="B7" s="7" t="s">
        <v>99</v>
      </c>
      <c r="C7" s="7" t="s">
        <v>100</v>
      </c>
      <c r="D7" s="7" t="s">
        <v>101</v>
      </c>
      <c r="E7" s="7" t="s">
        <v>102</v>
      </c>
      <c r="F7" s="15">
        <f>COUNTIF(实例对比!N6:N47,"完成")</f>
        <v>30</v>
      </c>
      <c r="G7" s="15">
        <f>COUNTIF(实例对比!N6:N47,"超时")</f>
        <v>12</v>
      </c>
      <c r="H7" s="15">
        <f>COUNTIF(实例对比!N6:N47,"缺失")</f>
        <v>0</v>
      </c>
    </row>
    <row r="8" ht="34" customHeight="1"/>
    <row r="9" spans="1:1">
      <c r="A9" s="8" t="s">
        <v>103</v>
      </c>
    </row>
    <row r="10" ht="25" customHeight="1" spans="1:8">
      <c r="A10" s="9" t="s">
        <v>104</v>
      </c>
      <c r="B10" s="10" t="s">
        <v>105</v>
      </c>
      <c r="C10" s="11"/>
      <c r="D10" s="11"/>
      <c r="E10" s="11"/>
      <c r="F10" s="11"/>
      <c r="G10" s="11"/>
      <c r="H10" s="11"/>
    </row>
    <row r="11" ht="27" customHeight="1" spans="1:8">
      <c r="A11" s="9" t="s">
        <v>106</v>
      </c>
      <c r="B11" s="10" t="s">
        <v>107</v>
      </c>
      <c r="C11" s="11"/>
      <c r="D11" s="11"/>
      <c r="E11" s="11"/>
      <c r="F11" s="11"/>
      <c r="G11" s="11"/>
      <c r="H11" s="11"/>
    </row>
    <row r="12" ht="27" customHeight="1" spans="1:8">
      <c r="A12" s="9" t="s">
        <v>6</v>
      </c>
      <c r="B12" s="10" t="s">
        <v>108</v>
      </c>
      <c r="C12" s="11"/>
      <c r="D12" s="11"/>
      <c r="E12" s="11"/>
      <c r="F12" s="11"/>
      <c r="G12" s="11"/>
      <c r="H12" s="11"/>
    </row>
    <row r="13" ht="27" customHeight="1" spans="1:8">
      <c r="A13" s="9" t="s">
        <v>109</v>
      </c>
      <c r="B13" s="10" t="s">
        <v>110</v>
      </c>
      <c r="C13" s="11"/>
      <c r="D13" s="11"/>
      <c r="E13" s="11"/>
      <c r="F13" s="11"/>
      <c r="G13" s="11"/>
      <c r="H13" s="11"/>
    </row>
    <row r="14" ht="27" customHeight="1" spans="1:8">
      <c r="A14" s="9" t="s">
        <v>12</v>
      </c>
      <c r="B14" s="10" t="s">
        <v>111</v>
      </c>
      <c r="C14" s="11"/>
      <c r="D14" s="11"/>
      <c r="E14" s="11"/>
      <c r="F14" s="11"/>
      <c r="G14" s="11"/>
      <c r="H14" s="11"/>
    </row>
    <row r="15" ht="27" customHeight="1" spans="1:8">
      <c r="A15" s="9" t="s">
        <v>112</v>
      </c>
      <c r="B15" s="10" t="s">
        <v>113</v>
      </c>
      <c r="C15" s="11"/>
      <c r="D15" s="11"/>
      <c r="E15" s="11"/>
      <c r="F15" s="11"/>
      <c r="G15" s="11"/>
      <c r="H15" s="11"/>
    </row>
    <row r="16" ht="27" customHeight="1" spans="1:8">
      <c r="A16" s="9" t="s">
        <v>29</v>
      </c>
      <c r="B16" s="10" t="s">
        <v>114</v>
      </c>
      <c r="C16" s="11"/>
      <c r="D16" s="11"/>
      <c r="E16" s="11"/>
      <c r="F16" s="11"/>
      <c r="G16" s="11"/>
      <c r="H16" s="11"/>
    </row>
    <row r="17" ht="27" customHeight="1" spans="1:8">
      <c r="A17" s="9" t="s">
        <v>35</v>
      </c>
      <c r="B17" s="10" t="s">
        <v>115</v>
      </c>
      <c r="C17" s="11"/>
      <c r="D17" s="11"/>
      <c r="E17" s="11"/>
      <c r="F17" s="11"/>
      <c r="G17" s="11"/>
      <c r="H17" s="11"/>
    </row>
    <row r="18" ht="27" customHeight="1" spans="1:8">
      <c r="A18" s="9" t="s">
        <v>116</v>
      </c>
      <c r="B18" s="10" t="s">
        <v>117</v>
      </c>
      <c r="C18" s="11"/>
      <c r="D18" s="11"/>
      <c r="E18" s="11"/>
      <c r="F18" s="11"/>
      <c r="G18" s="11"/>
      <c r="H18" s="11"/>
    </row>
    <row r="19" ht="27" customHeight="1" spans="1:8">
      <c r="A19" s="9" t="s">
        <v>118</v>
      </c>
      <c r="B19" s="10" t="s">
        <v>119</v>
      </c>
      <c r="C19" s="11"/>
      <c r="D19" s="11"/>
      <c r="E19" s="11"/>
      <c r="F19" s="11"/>
      <c r="G19" s="11"/>
      <c r="H19" s="11"/>
    </row>
    <row r="20" ht="27" customHeight="1"/>
  </sheetData>
  <mergeCells count="13">
    <mergeCell ref="A1:H1"/>
    <mergeCell ref="A2:H2"/>
    <mergeCell ref="A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</mergeCells>
  <printOptions horizontalCentered="1"/>
  <pageMargins left="0.75" right="0.75" top="1" bottom="1" header="0.5" footer="0.5"/>
  <pageSetup paperSize="1" fitToHeight="0" orientation="landscape"/>
  <headerFooter>
    <oddHeader>&amp;C版本说明、覆盖情况与计算口径</oddHeader>
    <oddFooter>&amp;R第 &amp;P / &amp;N 页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实例对比</vt:lpstr>
      <vt:lpstr>HKMST相对基线</vt:lpstr>
      <vt:lpstr>版本说明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 策略对比：Concorde / 07_14_deg / MST / HKMST</dc:title>
  <dc:subject>基于 docs/comparison-cache.json 的逐实例运行时间与展开节点对比</dc:subject>
  <dc:creator>OpenAI Codex</dc:creator>
  <dc:description>Generated from docs/comparison-cache.json; timeout and missing records are kept distinct.</dc:description>
  <cp:lastModifiedBy>a</cp:lastModifiedBy>
  <dcterms:created xsi:type="dcterms:W3CDTF">2026-07-27T13:11:00Z</dcterms:created>
  <dcterms:modified xsi:type="dcterms:W3CDTF">2026-07-27T12:11:25Z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2052-12.1.23135.23135</vt:lpwstr>
  </property>
  <property fmtid="{D5CDD505-2E9C-101B-9397-08002B2CF9AE}" pid="3" name="ICV">
    <vt:lpwstr>93C96ACE5483E20FB60B666A735FF137_42</vt:lpwstr>
  </property>
</Properties>
</file>