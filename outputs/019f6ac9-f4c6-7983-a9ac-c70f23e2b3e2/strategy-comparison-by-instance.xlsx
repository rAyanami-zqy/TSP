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例对比" sheetId="1" state="visible" r:id="rId1"/>
    <sheet name="增量_vs_full" sheetId="2" state="visible" r:id="rId2"/>
    <sheet name="版本说明" sheetId="3" state="visible" r:id="rId3"/>
  </sheets>
  <definedNames>
    <definedName name="_xlnm.Print_Titles" localSheetId="0">'实例对比'!$1:$5</definedName>
    <definedName name="_xlnm.Print_Area" localSheetId="0">'实例对比'!$A$1:$AA$20</definedName>
    <definedName name="_xlnm.Print_Titles" localSheetId="1">'增量_vs_full'!$1:$5</definedName>
    <definedName name="_xlnm.Print_Area" localSheetId="1">'增量_vs_full'!$A$1:$V$20</definedName>
    <definedName name="_xlnm.Print_Area" localSheetId="2">'版本说明'!$A$1:$E$21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;-0.0%"/>
  </numFmts>
  <fonts count="12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17365D"/>
      <sz val="10"/>
    </font>
    <font>
      <name val="Aptos"/>
      <b val="1"/>
      <color rgb="00FFFFFF"/>
      <sz val="9"/>
    </font>
    <font>
      <name val="Aptos"/>
      <sz val="9"/>
    </font>
    <font>
      <name val="Aptos Display"/>
      <b val="1"/>
      <color rgb="00FFFFFF"/>
      <sz val="15"/>
    </font>
    <font>
      <name val="Aptos"/>
      <b val="1"/>
      <color rgb="00FFFFFF"/>
      <sz val="10"/>
    </font>
    <font>
      <name val="Aptos"/>
      <b val="1"/>
      <sz val="9"/>
    </font>
    <font>
      <name val="Aptos"/>
      <b val="1"/>
      <color rgb="00FFFFFF"/>
      <sz val="11"/>
    </font>
    <font>
      <name val="Aptos"/>
      <b val="1"/>
      <color rgb="0017365D"/>
      <sz val="9"/>
    </font>
    <font>
      <name val="Aptos"/>
      <color rgb="00375623"/>
      <sz val="10"/>
    </font>
    <font>
      <name val="Aptos"/>
      <b val="1"/>
      <color rgb="00FFFFFF"/>
      <sz val="8.5"/>
    </font>
  </fonts>
  <fills count="1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2F75B5"/>
      </patternFill>
    </fill>
    <fill>
      <patternFill patternType="solid">
        <fgColor rgb="007030A0"/>
      </patternFill>
    </fill>
    <fill>
      <patternFill patternType="solid">
        <fgColor rgb="00008C95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9E480E"/>
      </patternFill>
    </fill>
    <fill>
      <patternFill patternType="solid">
        <fgColor rgb="0044546A"/>
      </patternFill>
    </fill>
    <fill>
      <patternFill patternType="solid">
        <fgColor rgb="006B7280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DDEBF0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12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4" fontId="4" fillId="13" borderId="1" applyAlignment="1" pivotButton="0" quotePrefix="0" xfId="0">
      <alignment horizontal="right" vertical="center"/>
    </xf>
    <xf numFmtId="165" fontId="4" fillId="13" borderId="1" applyAlignment="1" pivotButton="0" quotePrefix="0" xfId="0">
      <alignment horizontal="right" vertical="center"/>
    </xf>
    <xf numFmtId="3" fontId="4" fillId="13" borderId="1" applyAlignment="1" pivotButton="0" quotePrefix="0" xfId="0">
      <alignment horizontal="right" vertical="center"/>
    </xf>
    <xf numFmtId="164" fontId="4" fillId="14" borderId="1" applyAlignment="1" pivotButton="0" quotePrefix="0" xfId="0">
      <alignment horizontal="right" vertical="center"/>
    </xf>
    <xf numFmtId="165" fontId="4" fillId="14" borderId="1" applyAlignment="1" pivotButton="0" quotePrefix="0" xfId="0">
      <alignment horizontal="right" vertical="center"/>
    </xf>
    <xf numFmtId="3" fontId="4" fillId="14" borderId="1" applyAlignment="1" pivotButton="0" quotePrefix="0" xfId="0">
      <alignment horizontal="right" vertical="center"/>
    </xf>
    <xf numFmtId="164" fontId="4" fillId="15" borderId="1" applyAlignment="1" pivotButton="0" quotePrefix="0" xfId="0">
      <alignment horizontal="right" vertical="center"/>
    </xf>
    <xf numFmtId="165" fontId="4" fillId="15" borderId="1" applyAlignment="1" pivotButton="0" quotePrefix="0" xfId="0">
      <alignment horizontal="right" vertical="center"/>
    </xf>
    <xf numFmtId="3" fontId="4" fillId="15" borderId="1" applyAlignment="1" pivotButton="0" quotePrefix="0" xfId="0">
      <alignment horizontal="right" vertical="center"/>
    </xf>
    <xf numFmtId="164" fontId="4" fillId="16" borderId="1" applyAlignment="1" pivotButton="0" quotePrefix="0" xfId="0">
      <alignment horizontal="right" vertical="center"/>
    </xf>
    <xf numFmtId="165" fontId="4" fillId="16" borderId="1" applyAlignment="1" pivotButton="0" quotePrefix="0" xfId="0">
      <alignment horizontal="right" vertical="center"/>
    </xf>
    <xf numFmtId="3" fontId="4" fillId="16" borderId="1" applyAlignment="1" pivotButton="0" quotePrefix="0" xfId="0">
      <alignment horizontal="right" vertical="center"/>
    </xf>
    <xf numFmtId="164" fontId="4" fillId="17" borderId="1" applyAlignment="1" pivotButton="0" quotePrefix="0" xfId="0">
      <alignment horizontal="right" vertical="center"/>
    </xf>
    <xf numFmtId="165" fontId="4" fillId="17" borderId="1" applyAlignment="1" pivotButton="0" quotePrefix="0" xfId="0">
      <alignment horizontal="right" vertical="center"/>
    </xf>
    <xf numFmtId="3" fontId="4" fillId="17" borderId="1" applyAlignment="1" pivotButton="0" quotePrefix="0" xfId="0">
      <alignment horizontal="right" vertical="center"/>
    </xf>
    <xf numFmtId="0" fontId="10" fillId="16" borderId="0" applyAlignment="1" pivotButton="0" quotePrefix="0" xfId="0">
      <alignment vertical="center" wrapText="1"/>
    </xf>
    <xf numFmtId="0" fontId="11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164" fontId="4" fillId="15" borderId="1" applyAlignment="1" pivotButton="0" quotePrefix="0" xfId="0">
      <alignment vertical="center"/>
    </xf>
    <xf numFmtId="164" fontId="4" fillId="16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3" fontId="4" fillId="15" borderId="1" applyAlignment="1" pivotButton="0" quotePrefix="0" xfId="0">
      <alignment vertical="center"/>
    </xf>
    <xf numFmtId="3" fontId="4" fillId="16" borderId="1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1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4" borderId="0" pivotButton="0" quotePrefix="0" xfId="0"/>
    <xf numFmtId="0" fontId="9" fillId="3" borderId="0" applyAlignment="1" pivotButton="0" quotePrefix="0" xfId="0">
      <alignment vertical="top"/>
    </xf>
  </cellXfs>
  <cellStyles count="1">
    <cellStyle name="Normal" xfId="0" builtinId="0" hidden="0"/>
  </cellStyles>
  <dxfs count="3">
    <dxf>
      <font>
        <i val="1"/>
        <color rgb="007F6000"/>
      </font>
      <fill>
        <patternFill patternType="solid">
          <fgColor rgb="00E7E6E6"/>
        </patternFill>
      </fill>
    </dxf>
    <dxf>
      <font>
        <color rgb="002E7D32"/>
      </font>
      <fill>
        <patternFill patternType="solid">
          <fgColor rgb="00E2F0D9"/>
        </patternFill>
      </fill>
    </dxf>
    <dxf>
      <font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User</author>
  </authors>
  <commentList>
    <comment ref="I5" authorId="0" shapeId="0">
      <text>
        <t>公式：目标时间 / 基准时间 − 1；负值表示更快。</t>
      </text>
    </comment>
    <comment ref="K5" authorId="0" shapeId="0">
      <text>
        <t>公式：目标 Expanded / 基准 Expanded − 1；负值表示展开节点更少。</t>
      </text>
    </comment>
    <comment ref="E6" authorId="0" shapeId="0">
      <text>
        <t>源文档值：24ms</t>
      </text>
    </comment>
    <comment ref="F6" authorId="0" shapeId="0">
      <text>
        <t>源文档值：39ms</t>
      </text>
    </comment>
    <comment ref="H6" authorId="0" shapeId="0">
      <text>
        <t>源文档值：37ms</t>
      </text>
    </comment>
    <comment ref="L6" authorId="0" shapeId="0">
      <text>
        <t>源文档值：34ms</t>
      </text>
    </comment>
    <comment ref="P6" authorId="0" shapeId="0">
      <text>
        <t>源文档值：39ms</t>
      </text>
    </comment>
    <comment ref="T6" authorId="0" shapeId="0">
      <text>
        <t>源文档值：57ms</t>
      </text>
    </comment>
    <comment ref="X6" authorId="0" shapeId="0">
      <text>
        <t>源文档值：57ms</t>
      </text>
    </comment>
    <comment ref="E7" authorId="0" shapeId="0">
      <text>
        <t>源文档值：45ms</t>
      </text>
    </comment>
    <comment ref="F7" authorId="0" shapeId="0">
      <text>
        <t>源文档值：23.4s</t>
      </text>
    </comment>
    <comment ref="H7" authorId="0" shapeId="0">
      <text>
        <t>源文档值：18.3s</t>
      </text>
    </comment>
    <comment ref="L7" authorId="0" shapeId="0">
      <text>
        <t>源文档值：16.3s</t>
      </text>
    </comment>
    <comment ref="P7" authorId="0" shapeId="0">
      <text>
        <t>源文档值：23.3s</t>
      </text>
    </comment>
    <comment ref="T7" authorId="0" shapeId="0">
      <text>
        <t>源文档值：19.9s</t>
      </text>
    </comment>
    <comment ref="X7" authorId="0" shapeId="0">
      <text>
        <t>源文档值：27.8s</t>
      </text>
    </comment>
    <comment ref="E8" authorId="0" shapeId="0">
      <text>
        <t>源文档值：27ms</t>
      </text>
    </comment>
    <comment ref="F8" authorId="0" shapeId="0">
      <text>
        <t>源文档值：3.7s</t>
      </text>
    </comment>
    <comment ref="H8" authorId="0" shapeId="0">
      <text>
        <t>源文档值：2.8s</t>
      </text>
    </comment>
    <comment ref="L8" authorId="0" shapeId="0">
      <text>
        <t>源文档值：2.9s</t>
      </text>
    </comment>
    <comment ref="P8" authorId="0" shapeId="0">
      <text>
        <t>源文档值：2.9s</t>
      </text>
    </comment>
    <comment ref="T8" authorId="0" shapeId="0">
      <text>
        <t>源文档值：3.8s</t>
      </text>
    </comment>
    <comment ref="X8" authorId="0" shapeId="0">
      <text>
        <t>源文档值：5.0s</t>
      </text>
    </comment>
    <comment ref="E9" authorId="0" shapeId="0">
      <text>
        <t>源文档值：14ms</t>
      </text>
    </comment>
    <comment ref="F9" authorId="0" shapeId="0">
      <text>
        <t>源文档值：99ms</t>
      </text>
    </comment>
    <comment ref="H9" authorId="0" shapeId="0">
      <text>
        <t>源文档值：84ms</t>
      </text>
    </comment>
    <comment ref="L9" authorId="0" shapeId="0">
      <text>
        <t>源文档值：102ms</t>
      </text>
    </comment>
    <comment ref="P9" authorId="0" shapeId="0">
      <text>
        <t>源文档值：97ms</t>
      </text>
    </comment>
    <comment ref="T9" authorId="0" shapeId="0">
      <text>
        <t>源文档值：130ms</t>
      </text>
    </comment>
    <comment ref="X9" authorId="0" shapeId="0">
      <text>
        <t>源文档值：254ms</t>
      </text>
    </comment>
    <comment ref="E10" authorId="0" shapeId="0">
      <text>
        <t>源文档值：18ms</t>
      </text>
    </comment>
    <comment ref="F10" authorId="0" shapeId="0">
      <text>
        <t>源文档值：2.3s</t>
      </text>
    </comment>
    <comment ref="H10" authorId="0" shapeId="0">
      <text>
        <t>源文档值：1.4s</t>
      </text>
    </comment>
    <comment ref="L10" authorId="0" shapeId="0">
      <text>
        <t>源文档值：1.3s</t>
      </text>
    </comment>
    <comment ref="P10" authorId="0" shapeId="0">
      <text>
        <t>源文档值：2.6s</t>
      </text>
    </comment>
    <comment ref="T10" authorId="0" shapeId="0">
      <text>
        <t>源文档值：2.4s</t>
      </text>
    </comment>
    <comment ref="X10" authorId="0" shapeId="0">
      <text>
        <t>源文档值：2.9s</t>
      </text>
    </comment>
    <comment ref="E11" authorId="0" shapeId="0">
      <text>
        <t>源文档值：27ms</t>
      </text>
    </comment>
    <comment ref="F11" authorId="0" shapeId="0">
      <text>
        <t>源文档值：3.8s</t>
      </text>
    </comment>
    <comment ref="H11" authorId="0" shapeId="0">
      <text>
        <t>源文档值：2.7s</t>
      </text>
    </comment>
    <comment ref="L11" authorId="0" shapeId="0">
      <text>
        <t>源文档值：2.1s</t>
      </text>
    </comment>
    <comment ref="P11" authorId="0" shapeId="0">
      <text>
        <t>源文档值：2.7s</t>
      </text>
    </comment>
    <comment ref="T11" authorId="0" shapeId="0">
      <text>
        <t>源文档值：9.8s</t>
      </text>
    </comment>
    <comment ref="X11" authorId="0" shapeId="0">
      <text>
        <t>源文档值：12.6s</t>
      </text>
    </comment>
    <comment ref="E12" authorId="0" shapeId="0">
      <text>
        <t>源文档值：18ms</t>
      </text>
    </comment>
    <comment ref="F12" authorId="0" shapeId="0">
      <text>
        <t>源文档值：46.8s</t>
      </text>
    </comment>
    <comment ref="H12" authorId="0" shapeId="0">
      <text>
        <t>源文档值：36.0s</t>
      </text>
    </comment>
    <comment ref="L12" authorId="0" shapeId="0">
      <text>
        <t>源文档值：38.6s</t>
      </text>
    </comment>
    <comment ref="P12" authorId="0" shapeId="0">
      <text>
        <t>源文档值：45.0s</t>
      </text>
    </comment>
    <comment ref="T12" authorId="0" shapeId="0">
      <text>
        <t>源文档值：2.1m</t>
      </text>
    </comment>
    <comment ref="X12" authorId="0" shapeId="0">
      <text>
        <t>源文档值：2.8m</t>
      </text>
    </comment>
    <comment ref="E13" authorId="0" shapeId="0">
      <text>
        <t>源文档值：33ms</t>
      </text>
    </comment>
    <comment ref="F13" authorId="0" shapeId="0">
      <text>
        <t>源文档值：9.6m</t>
      </text>
    </comment>
    <comment ref="H13" authorId="0" shapeId="0">
      <text>
        <t>源文档值：7.6m</t>
      </text>
    </comment>
    <comment ref="L13" authorId="0" shapeId="0">
      <text>
        <t>源文档值：8.1m</t>
      </text>
    </comment>
    <comment ref="P13" authorId="0" shapeId="0">
      <text>
        <t>源文档值：8.9m</t>
      </text>
    </comment>
    <comment ref="T13" authorId="0" shapeId="0">
      <text>
        <t>源文档值：13.2m</t>
      </text>
    </comment>
    <comment ref="X13" authorId="0" shapeId="0">
      <text>
        <t>源文档值：14.0m</t>
      </text>
    </comment>
    <comment ref="E14" authorId="0" shapeId="0">
      <text>
        <t>源文档值：46ms</t>
      </text>
    </comment>
    <comment ref="F14" authorId="0" shapeId="0">
      <text>
        <t>源文档值：377ms</t>
      </text>
    </comment>
    <comment ref="H14" authorId="0" shapeId="0">
      <text>
        <t>源文档值：288ms</t>
      </text>
    </comment>
    <comment ref="L14" authorId="0" shapeId="0">
      <text>
        <t>源文档值：239ms</t>
      </text>
    </comment>
    <comment ref="P14" authorId="0" shapeId="0">
      <text>
        <t>源文档值：356ms</t>
      </text>
    </comment>
    <comment ref="T14" authorId="0" shapeId="0">
      <text>
        <t>源文档值：2.0m</t>
      </text>
    </comment>
    <comment ref="X14" authorId="0" shapeId="0">
      <text>
        <t>源文档值：2.4m</t>
      </text>
    </comment>
    <comment ref="E15" authorId="0" shapeId="0">
      <text>
        <t>源文档值：30ms</t>
      </text>
    </comment>
    <comment ref="F15" authorId="0" shapeId="0">
      <text>
        <t>源文档值：277ms</t>
      </text>
    </comment>
    <comment ref="H15" authorId="0" shapeId="0">
      <text>
        <t>源文档值：142ms</t>
      </text>
    </comment>
    <comment ref="L15" authorId="0" shapeId="0">
      <text>
        <t>源文档值：128ms</t>
      </text>
    </comment>
    <comment ref="P15" authorId="0" shapeId="0">
      <text>
        <t>源文档值：184ms</t>
      </text>
    </comment>
    <comment ref="T15" authorId="0" shapeId="0">
      <text>
        <t>源文档值：8.9s</t>
      </text>
    </comment>
    <comment ref="X15" authorId="0" shapeId="0">
      <text>
        <t>源文档值：14.9s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E6" authorId="0" shapeId="0">
      <text>
        <t>源文档值：39ms</t>
      </text>
    </comment>
    <comment ref="F6" authorId="0" shapeId="0">
      <text>
        <t>源文档值：37ms</t>
      </text>
    </comment>
    <comment ref="K6" authorId="0" shapeId="0">
      <text>
        <t>源文档值：39ms</t>
      </text>
    </comment>
    <comment ref="L6" authorId="0" shapeId="0">
      <text>
        <t>源文档值：34ms</t>
      </text>
    </comment>
    <comment ref="Q6" authorId="0" shapeId="0">
      <text>
        <t>源文档值：57ms</t>
      </text>
    </comment>
    <comment ref="R6" authorId="0" shapeId="0">
      <text>
        <t>源文档值：57ms</t>
      </text>
    </comment>
    <comment ref="E7" authorId="0" shapeId="0">
      <text>
        <t>源文档值：23.4s</t>
      </text>
    </comment>
    <comment ref="F7" authorId="0" shapeId="0">
      <text>
        <t>源文档值：18.3s</t>
      </text>
    </comment>
    <comment ref="K7" authorId="0" shapeId="0">
      <text>
        <t>源文档值：23.3s</t>
      </text>
    </comment>
    <comment ref="L7" authorId="0" shapeId="0">
      <text>
        <t>源文档值：16.3s</t>
      </text>
    </comment>
    <comment ref="Q7" authorId="0" shapeId="0">
      <text>
        <t>源文档值：27.8s</t>
      </text>
    </comment>
    <comment ref="R7" authorId="0" shapeId="0">
      <text>
        <t>源文档值：19.9s</t>
      </text>
    </comment>
    <comment ref="E8" authorId="0" shapeId="0">
      <text>
        <t>源文档值：3.7s</t>
      </text>
    </comment>
    <comment ref="F8" authorId="0" shapeId="0">
      <text>
        <t>源文档值：2.8s</t>
      </text>
    </comment>
    <comment ref="K8" authorId="0" shapeId="0">
      <text>
        <t>源文档值：2.9s</t>
      </text>
    </comment>
    <comment ref="L8" authorId="0" shapeId="0">
      <text>
        <t>源文档值：2.9s</t>
      </text>
    </comment>
    <comment ref="Q8" authorId="0" shapeId="0">
      <text>
        <t>源文档值：5.0s</t>
      </text>
    </comment>
    <comment ref="R8" authorId="0" shapeId="0">
      <text>
        <t>源文档值：3.8s</t>
      </text>
    </comment>
    <comment ref="E9" authorId="0" shapeId="0">
      <text>
        <t>源文档值：99ms</t>
      </text>
    </comment>
    <comment ref="F9" authorId="0" shapeId="0">
      <text>
        <t>源文档值：84ms</t>
      </text>
    </comment>
    <comment ref="K9" authorId="0" shapeId="0">
      <text>
        <t>源文档值：97ms</t>
      </text>
    </comment>
    <comment ref="L9" authorId="0" shapeId="0">
      <text>
        <t>源文档值：102ms</t>
      </text>
    </comment>
    <comment ref="Q9" authorId="0" shapeId="0">
      <text>
        <t>源文档值：254ms</t>
      </text>
    </comment>
    <comment ref="R9" authorId="0" shapeId="0">
      <text>
        <t>源文档值：130ms</t>
      </text>
    </comment>
    <comment ref="E10" authorId="0" shapeId="0">
      <text>
        <t>源文档值：2.3s</t>
      </text>
    </comment>
    <comment ref="F10" authorId="0" shapeId="0">
      <text>
        <t>源文档值：1.4s</t>
      </text>
    </comment>
    <comment ref="K10" authorId="0" shapeId="0">
      <text>
        <t>源文档值：2.6s</t>
      </text>
    </comment>
    <comment ref="L10" authorId="0" shapeId="0">
      <text>
        <t>源文档值：1.3s</t>
      </text>
    </comment>
    <comment ref="Q10" authorId="0" shapeId="0">
      <text>
        <t>源文档值：2.9s</t>
      </text>
    </comment>
    <comment ref="R10" authorId="0" shapeId="0">
      <text>
        <t>源文档值：2.4s</t>
      </text>
    </comment>
    <comment ref="E11" authorId="0" shapeId="0">
      <text>
        <t>源文档值：3.8s</t>
      </text>
    </comment>
    <comment ref="F11" authorId="0" shapeId="0">
      <text>
        <t>源文档值：2.7s</t>
      </text>
    </comment>
    <comment ref="K11" authorId="0" shapeId="0">
      <text>
        <t>源文档值：2.7s</t>
      </text>
    </comment>
    <comment ref="L11" authorId="0" shapeId="0">
      <text>
        <t>源文档值：2.1s</t>
      </text>
    </comment>
    <comment ref="Q11" authorId="0" shapeId="0">
      <text>
        <t>源文档值：12.6s</t>
      </text>
    </comment>
    <comment ref="R11" authorId="0" shapeId="0">
      <text>
        <t>源文档值：9.8s</t>
      </text>
    </comment>
    <comment ref="E12" authorId="0" shapeId="0">
      <text>
        <t>源文档值：46.8s</t>
      </text>
    </comment>
    <comment ref="F12" authorId="0" shapeId="0">
      <text>
        <t>源文档值：36.0s</t>
      </text>
    </comment>
    <comment ref="K12" authorId="0" shapeId="0">
      <text>
        <t>源文档值：45.0s</t>
      </text>
    </comment>
    <comment ref="L12" authorId="0" shapeId="0">
      <text>
        <t>源文档值：38.6s</t>
      </text>
    </comment>
    <comment ref="Q12" authorId="0" shapeId="0">
      <text>
        <t>源文档值：2.8m</t>
      </text>
    </comment>
    <comment ref="R12" authorId="0" shapeId="0">
      <text>
        <t>源文档值：2.1m</t>
      </text>
    </comment>
    <comment ref="E13" authorId="0" shapeId="0">
      <text>
        <t>源文档值：9.6m</t>
      </text>
    </comment>
    <comment ref="F13" authorId="0" shapeId="0">
      <text>
        <t>源文档值：7.6m</t>
      </text>
    </comment>
    <comment ref="K13" authorId="0" shapeId="0">
      <text>
        <t>源文档值：8.9m</t>
      </text>
    </comment>
    <comment ref="L13" authorId="0" shapeId="0">
      <text>
        <t>源文档值：8.1m</t>
      </text>
    </comment>
    <comment ref="Q13" authorId="0" shapeId="0">
      <text>
        <t>源文档值：14.0m</t>
      </text>
    </comment>
    <comment ref="R13" authorId="0" shapeId="0">
      <text>
        <t>源文档值：13.2m</t>
      </text>
    </comment>
    <comment ref="E14" authorId="0" shapeId="0">
      <text>
        <t>源文档值：377ms</t>
      </text>
    </comment>
    <comment ref="F14" authorId="0" shapeId="0">
      <text>
        <t>源文档值：288ms</t>
      </text>
    </comment>
    <comment ref="K14" authorId="0" shapeId="0">
      <text>
        <t>源文档值：356ms</t>
      </text>
    </comment>
    <comment ref="L14" authorId="0" shapeId="0">
      <text>
        <t>源文档值：239ms</t>
      </text>
    </comment>
    <comment ref="Q14" authorId="0" shapeId="0">
      <text>
        <t>源文档值：2.4m</t>
      </text>
    </comment>
    <comment ref="R14" authorId="0" shapeId="0">
      <text>
        <t>源文档值：2.0m</t>
      </text>
    </comment>
    <comment ref="E15" authorId="0" shapeId="0">
      <text>
        <t>源文档值：277ms</t>
      </text>
    </comment>
    <comment ref="F15" authorId="0" shapeId="0">
      <text>
        <t>源文档值：142ms</t>
      </text>
    </comment>
    <comment ref="K15" authorId="0" shapeId="0">
      <text>
        <t>源文档值：184ms</t>
      </text>
    </comment>
    <comment ref="L15" authorId="0" shapeId="0">
      <text>
        <t>源文档值：128ms</t>
      </text>
    </comment>
    <comment ref="Q15" authorId="0" shapeId="0">
      <text>
        <t>源文档值：14.9s</t>
      </text>
    </comment>
    <comment ref="R15" authorId="0" shapeId="0">
      <text>
        <t>源文档值：8.9s</t>
      </text>
    </comment>
  </commentList>
</comments>
</file>

<file path=xl/tables/table1.xml><?xml version="1.0" encoding="utf-8"?>
<table xmlns="http://schemas.openxmlformats.org/spreadsheetml/2006/main" id="1" name="VariantDefinitions" displayName="VariantDefinitions" ref="A3:E9" headerRowCount="1">
  <autoFilter ref="A3:E9"/>
  <tableColumns count="5">
    <tableColumn id="1" name="Variant"/>
    <tableColumn id="2" name="Branch Strategy"/>
    <tableColumn id="3" name="Edge Selection"/>
    <tableColumn id="4" name="1-tree"/>
    <tableColumn id="5" name="Source Bran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20"/>
  <sheetViews>
    <sheetView showGridLines="0" zoomScale="7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14" customWidth="1" min="5" max="5"/>
    <col width="14" customWidth="1" min="6" max="6"/>
    <col width="16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  <col width="16" customWidth="1" min="14" max="14"/>
    <col width="13" customWidth="1" min="15" max="15"/>
    <col width="13" customWidth="1" min="16" max="16"/>
    <col width="13" customWidth="1" min="17" max="17"/>
    <col width="16" customWidth="1" min="18" max="18"/>
    <col width="13" customWidth="1" min="19" max="19"/>
    <col width="13" customWidth="1" min="20" max="20"/>
    <col width="13" customWidth="1" min="21" max="21"/>
    <col width="16" customWidth="1" min="22" max="22"/>
    <col width="13" customWidth="1" min="23" max="23"/>
    <col width="13" customWidth="1" min="24" max="24"/>
    <col width="13" customWidth="1" min="25" max="25"/>
    <col width="16" customWidth="1" min="26" max="26"/>
    <col width="13" customWidth="1" min="27" max="27"/>
  </cols>
  <sheetData>
    <row r="1" ht="30" customHeight="1">
      <c r="A1" s="1" t="inlineStr">
        <is>
          <t>TSP 求解器逐实例策略对比</t>
        </is>
      </c>
    </row>
    <row r="2" ht="42" customHeight="1">
      <c r="A2" s="2" t="inlineStr">
        <is>
          <t>基准：tsp_bb_26_07_02_full；时间统一为秒；Expanded 为展开节点数（分支树规模代理）；Δ% = 目标/基准 − 1，负值表示更快或展开节点更少。Concorde 仅保留原始时间，不参与基准对比；空白表示全部变体超时或未记录。</t>
        </is>
      </c>
    </row>
    <row r="3" ht="8" customHeight="1"/>
    <row r="4" ht="30" customHeight="1">
      <c r="A4" s="3" t="inlineStr">
        <is>
          <t>实例</t>
        </is>
      </c>
      <c r="B4" s="3" t="inlineStr">
        <is>
          <t>n</t>
        </is>
      </c>
      <c r="C4" s="3" t="inlineStr">
        <is>
          <t>状态</t>
        </is>
      </c>
      <c r="D4" s="3" t="inlineStr">
        <is>
          <t>最优成本</t>
        </is>
      </c>
      <c r="E4" s="4" t="inlineStr">
        <is>
          <t>Concorde
时间 (s)</t>
        </is>
      </c>
      <c r="F4" s="5" t="inlineStr">
        <is>
          <t>tsp_bb_26_07_02_full</t>
        </is>
      </c>
      <c r="G4" s="5" t="n"/>
      <c r="H4" s="6" t="inlineStr">
        <is>
          <t>tsp_bb_26_07_02</t>
        </is>
      </c>
      <c r="I4" s="6" t="n"/>
      <c r="J4" s="6" t="n"/>
      <c r="K4" s="6" t="n"/>
      <c r="L4" s="7" t="inlineStr">
        <is>
          <t>tsp_bb_26_07_14_deg</t>
        </is>
      </c>
      <c r="M4" s="7" t="n"/>
      <c r="N4" s="7" t="n"/>
      <c r="O4" s="7" t="n"/>
      <c r="P4" s="8" t="inlineStr">
        <is>
          <t>tsp_bb_26_07_14_full_deg</t>
        </is>
      </c>
      <c r="Q4" s="8" t="n"/>
      <c r="R4" s="8" t="n"/>
      <c r="S4" s="8" t="n"/>
      <c r="T4" s="9" t="inlineStr">
        <is>
          <t>tsp_bb_26_07_14_min_edge</t>
        </is>
      </c>
      <c r="U4" s="9" t="n"/>
      <c r="V4" s="9" t="n"/>
      <c r="W4" s="9" t="n"/>
      <c r="X4" s="10" t="inlineStr">
        <is>
          <t>tsp_bb_26_07_14_full_min_edge</t>
        </is>
      </c>
      <c r="Y4" s="10" t="n"/>
      <c r="Z4" s="10" t="n"/>
      <c r="AA4" s="10" t="n"/>
    </row>
    <row r="5" ht="30" customHeight="1">
      <c r="A5" s="3" t="n"/>
      <c r="B5" s="3" t="n"/>
      <c r="C5" s="3" t="n"/>
      <c r="D5" s="3" t="n"/>
      <c r="E5" s="4" t="n"/>
      <c r="F5" s="5" t="inlineStr">
        <is>
          <t>时间 (s)</t>
        </is>
      </c>
      <c r="G5" s="5" t="inlineStr">
        <is>
          <t>Expanded</t>
        </is>
      </c>
      <c r="H5" s="6" t="inlineStr">
        <is>
          <t>时间 (s)</t>
        </is>
      </c>
      <c r="I5" s="6" t="inlineStr">
        <is>
          <t>时间 Δ%</t>
        </is>
      </c>
      <c r="J5" s="6" t="inlineStr">
        <is>
          <t>Expanded</t>
        </is>
      </c>
      <c r="K5" s="6" t="inlineStr">
        <is>
          <t>节点 Δ%</t>
        </is>
      </c>
      <c r="L5" s="7" t="inlineStr">
        <is>
          <t>时间 (s)</t>
        </is>
      </c>
      <c r="M5" s="7" t="inlineStr">
        <is>
          <t>时间 Δ%</t>
        </is>
      </c>
      <c r="N5" s="7" t="inlineStr">
        <is>
          <t>Expanded</t>
        </is>
      </c>
      <c r="O5" s="7" t="inlineStr">
        <is>
          <t>节点 Δ%</t>
        </is>
      </c>
      <c r="P5" s="8" t="inlineStr">
        <is>
          <t>时间 (s)</t>
        </is>
      </c>
      <c r="Q5" s="8" t="inlineStr">
        <is>
          <t>时间 Δ%</t>
        </is>
      </c>
      <c r="R5" s="8" t="inlineStr">
        <is>
          <t>Expanded</t>
        </is>
      </c>
      <c r="S5" s="8" t="inlineStr">
        <is>
          <t>节点 Δ%</t>
        </is>
      </c>
      <c r="T5" s="9" t="inlineStr">
        <is>
          <t>时间 (s)</t>
        </is>
      </c>
      <c r="U5" s="9" t="inlineStr">
        <is>
          <t>时间 Δ%</t>
        </is>
      </c>
      <c r="V5" s="9" t="inlineStr">
        <is>
          <t>Expanded</t>
        </is>
      </c>
      <c r="W5" s="9" t="inlineStr">
        <is>
          <t>节点 Δ%</t>
        </is>
      </c>
      <c r="X5" s="10" t="inlineStr">
        <is>
          <t>时间 (s)</t>
        </is>
      </c>
      <c r="Y5" s="10" t="inlineStr">
        <is>
          <t>时间 Δ%</t>
        </is>
      </c>
      <c r="Z5" s="10" t="inlineStr">
        <is>
          <t>Expanded</t>
        </is>
      </c>
      <c r="AA5" s="10" t="inlineStr">
        <is>
          <t>节点 Δ%</t>
        </is>
      </c>
    </row>
    <row r="6" ht="23" customHeight="1">
      <c r="A6" s="11" t="inlineStr">
        <is>
          <t>burma14</t>
        </is>
      </c>
      <c r="B6" s="12" t="n">
        <v>14</v>
      </c>
      <c r="C6" s="13" t="inlineStr">
        <is>
          <t>完成</t>
        </is>
      </c>
      <c r="D6" s="14" t="n">
        <v>3323</v>
      </c>
      <c r="E6" s="15" t="n">
        <v>0.024</v>
      </c>
      <c r="F6" s="16" t="n">
        <v>0.039</v>
      </c>
      <c r="G6" s="17" t="n">
        <v>9162</v>
      </c>
      <c r="H6" s="18" t="n">
        <v>0.037</v>
      </c>
      <c r="I6" s="19">
        <f>IF(OR(H6="",F6=""),"",H6/F6-1)</f>
        <v/>
      </c>
      <c r="J6" s="20" t="n">
        <v>9162</v>
      </c>
      <c r="K6" s="19">
        <f>IF(OR(J6="",G6=""),"",J6/G6-1)</f>
        <v/>
      </c>
      <c r="L6" s="21" t="n">
        <v>0.034</v>
      </c>
      <c r="M6" s="22">
        <f>IF(OR(L6="",F6=""),"",L6/F6-1)</f>
        <v/>
      </c>
      <c r="N6" s="23" t="n">
        <v>4582</v>
      </c>
      <c r="O6" s="22">
        <f>IF(OR(N6="",G6=""),"",N6/G6-1)</f>
        <v/>
      </c>
      <c r="P6" s="24" t="n">
        <v>0.039</v>
      </c>
      <c r="Q6" s="25">
        <f>IF(OR(P6="",F6=""),"",P6/F6-1)</f>
        <v/>
      </c>
      <c r="R6" s="26" t="n">
        <v>4582</v>
      </c>
      <c r="S6" s="25">
        <f>IF(OR(R6="",G6=""),"",R6/G6-1)</f>
        <v/>
      </c>
      <c r="T6" s="27" t="n">
        <v>0.057</v>
      </c>
      <c r="U6" s="28">
        <f>IF(OR(T6="",F6=""),"",T6/F6-1)</f>
        <v/>
      </c>
      <c r="V6" s="29" t="n">
        <v>9152</v>
      </c>
      <c r="W6" s="28">
        <f>IF(OR(V6="",G6=""),"",V6/G6-1)</f>
        <v/>
      </c>
      <c r="X6" s="30" t="n">
        <v>0.057</v>
      </c>
      <c r="Y6" s="31">
        <f>IF(OR(X6="",F6=""),"",X6/F6-1)</f>
        <v/>
      </c>
      <c r="Z6" s="32" t="n">
        <v>9217</v>
      </c>
      <c r="AA6" s="31">
        <f>IF(OR(Z6="",G6=""),"",Z6/G6-1)</f>
        <v/>
      </c>
    </row>
    <row r="7" ht="23" customHeight="1">
      <c r="A7" s="11" t="inlineStr">
        <is>
          <t>ulysses16</t>
        </is>
      </c>
      <c r="B7" s="12" t="n">
        <v>16</v>
      </c>
      <c r="C7" s="13" t="inlineStr">
        <is>
          <t>完成</t>
        </is>
      </c>
      <c r="D7" s="14" t="n">
        <v>6859</v>
      </c>
      <c r="E7" s="15" t="n">
        <v>0.045</v>
      </c>
      <c r="F7" s="16" t="n">
        <v>23.4</v>
      </c>
      <c r="G7" s="17" t="n">
        <v>7797474</v>
      </c>
      <c r="H7" s="18" t="n">
        <v>18.3</v>
      </c>
      <c r="I7" s="19">
        <f>IF(OR(H7="",F7=""),"",H7/F7-1)</f>
        <v/>
      </c>
      <c r="J7" s="20" t="n">
        <v>7797474</v>
      </c>
      <c r="K7" s="19">
        <f>IF(OR(J7="",G7=""),"",J7/G7-1)</f>
        <v/>
      </c>
      <c r="L7" s="21" t="n">
        <v>16.3</v>
      </c>
      <c r="M7" s="22">
        <f>IF(OR(L7="",F7=""),"",L7/F7-1)</f>
        <v/>
      </c>
      <c r="N7" s="23" t="n">
        <v>3883908</v>
      </c>
      <c r="O7" s="22">
        <f>IF(OR(N7="",G7=""),"",N7/G7-1)</f>
        <v/>
      </c>
      <c r="P7" s="24" t="n">
        <v>23.3</v>
      </c>
      <c r="Q7" s="25">
        <f>IF(OR(P7="",F7=""),"",P7/F7-1)</f>
        <v/>
      </c>
      <c r="R7" s="26" t="n">
        <v>3883908</v>
      </c>
      <c r="S7" s="25">
        <f>IF(OR(R7="",G7=""),"",R7/G7-1)</f>
        <v/>
      </c>
      <c r="T7" s="27" t="n">
        <v>19.9</v>
      </c>
      <c r="U7" s="28">
        <f>IF(OR(T7="",F7=""),"",T7/F7-1)</f>
        <v/>
      </c>
      <c r="V7" s="29" t="n">
        <v>4286714</v>
      </c>
      <c r="W7" s="28">
        <f>IF(OR(V7="",G7=""),"",V7/G7-1)</f>
        <v/>
      </c>
      <c r="X7" s="30" t="n">
        <v>27.8</v>
      </c>
      <c r="Y7" s="31">
        <f>IF(OR(X7="",F7=""),"",X7/F7-1)</f>
        <v/>
      </c>
      <c r="Z7" s="32" t="n">
        <v>4292704</v>
      </c>
      <c r="AA7" s="31">
        <f>IF(OR(Z7="",G7=""),"",Z7/G7-1)</f>
        <v/>
      </c>
    </row>
    <row r="8" ht="23" customHeight="1">
      <c r="A8" s="11" t="inlineStr">
        <is>
          <t>gr17</t>
        </is>
      </c>
      <c r="B8" s="12" t="n">
        <v>17</v>
      </c>
      <c r="C8" s="13" t="inlineStr">
        <is>
          <t>完成</t>
        </is>
      </c>
      <c r="D8" s="14" t="n">
        <v>2085</v>
      </c>
      <c r="E8" s="15" t="n">
        <v>0.027</v>
      </c>
      <c r="F8" s="16" t="n">
        <v>3.7</v>
      </c>
      <c r="G8" s="17" t="n">
        <v>920131</v>
      </c>
      <c r="H8" s="18" t="n">
        <v>2.8</v>
      </c>
      <c r="I8" s="19">
        <f>IF(OR(H8="",F8=""),"",H8/F8-1)</f>
        <v/>
      </c>
      <c r="J8" s="20" t="n">
        <v>920131</v>
      </c>
      <c r="K8" s="19">
        <f>IF(OR(J8="",G8=""),"",J8/G8-1)</f>
        <v/>
      </c>
      <c r="L8" s="21" t="n">
        <v>2.9</v>
      </c>
      <c r="M8" s="22">
        <f>IF(OR(L8="",F8=""),"",L8/F8-1)</f>
        <v/>
      </c>
      <c r="N8" s="23" t="n">
        <v>463820</v>
      </c>
      <c r="O8" s="22">
        <f>IF(OR(N8="",G8=""),"",N8/G8-1)</f>
        <v/>
      </c>
      <c r="P8" s="24" t="n">
        <v>2.9</v>
      </c>
      <c r="Q8" s="25">
        <f>IF(OR(P8="",F8=""),"",P8/F8-1)</f>
        <v/>
      </c>
      <c r="R8" s="26" t="n">
        <v>463820</v>
      </c>
      <c r="S8" s="25">
        <f>IF(OR(R8="",G8=""),"",R8/G8-1)</f>
        <v/>
      </c>
      <c r="T8" s="27" t="n">
        <v>3.8</v>
      </c>
      <c r="U8" s="28">
        <f>IF(OR(T8="",F8=""),"",T8/F8-1)</f>
        <v/>
      </c>
      <c r="V8" s="29" t="n">
        <v>676809</v>
      </c>
      <c r="W8" s="28">
        <f>IF(OR(V8="",G8=""),"",V8/G8-1)</f>
        <v/>
      </c>
      <c r="X8" s="30" t="n">
        <v>5</v>
      </c>
      <c r="Y8" s="31">
        <f>IF(OR(X8="",F8=""),"",X8/F8-1)</f>
        <v/>
      </c>
      <c r="Z8" s="32" t="n">
        <v>676329</v>
      </c>
      <c r="AA8" s="31">
        <f>IF(OR(Z8="",G8=""),"",Z8/G8-1)</f>
        <v/>
      </c>
    </row>
    <row r="9" ht="23" customHeight="1">
      <c r="A9" s="11" t="inlineStr">
        <is>
          <t>gr21</t>
        </is>
      </c>
      <c r="B9" s="12" t="n">
        <v>21</v>
      </c>
      <c r="C9" s="13" t="inlineStr">
        <is>
          <t>完成</t>
        </is>
      </c>
      <c r="D9" s="14" t="n">
        <v>2707</v>
      </c>
      <c r="E9" s="15" t="n">
        <v>0.014</v>
      </c>
      <c r="F9" s="16" t="n">
        <v>0.099</v>
      </c>
      <c r="G9" s="17" t="n">
        <v>17314</v>
      </c>
      <c r="H9" s="18" t="n">
        <v>0.08400000000000001</v>
      </c>
      <c r="I9" s="19">
        <f>IF(OR(H9="",F9=""),"",H9/F9-1)</f>
        <v/>
      </c>
      <c r="J9" s="20" t="n">
        <v>19352</v>
      </c>
      <c r="K9" s="19">
        <f>IF(OR(J9="",G9=""),"",J9/G9-1)</f>
        <v/>
      </c>
      <c r="L9" s="21" t="n">
        <v>0.102</v>
      </c>
      <c r="M9" s="22">
        <f>IF(OR(L9="",F9=""),"",L9/F9-1)</f>
        <v/>
      </c>
      <c r="N9" s="23" t="n">
        <v>11193</v>
      </c>
      <c r="O9" s="22">
        <f>IF(OR(N9="",G9=""),"",N9/G9-1)</f>
        <v/>
      </c>
      <c r="P9" s="24" t="n">
        <v>0.097</v>
      </c>
      <c r="Q9" s="25">
        <f>IF(OR(P9="",F9=""),"",P9/F9-1)</f>
        <v/>
      </c>
      <c r="R9" s="26" t="n">
        <v>9911</v>
      </c>
      <c r="S9" s="25">
        <f>IF(OR(R9="",G9=""),"",R9/G9-1)</f>
        <v/>
      </c>
      <c r="T9" s="27" t="n">
        <v>0.13</v>
      </c>
      <c r="U9" s="28">
        <f>IF(OR(T9="",F9=""),"",T9/F9-1)</f>
        <v/>
      </c>
      <c r="V9" s="29" t="n">
        <v>24863</v>
      </c>
      <c r="W9" s="28">
        <f>IF(OR(V9="",G9=""),"",V9/G9-1)</f>
        <v/>
      </c>
      <c r="X9" s="30" t="n">
        <v>0.254</v>
      </c>
      <c r="Y9" s="31">
        <f>IF(OR(X9="",F9=""),"",X9/F9-1)</f>
        <v/>
      </c>
      <c r="Z9" s="32" t="n">
        <v>24876</v>
      </c>
      <c r="AA9" s="31">
        <f>IF(OR(Z9="",G9=""),"",Z9/G9-1)</f>
        <v/>
      </c>
    </row>
    <row r="10" ht="23" customHeight="1">
      <c r="A10" s="11" t="inlineStr">
        <is>
          <t>gr24</t>
        </is>
      </c>
      <c r="B10" s="12" t="n">
        <v>24</v>
      </c>
      <c r="C10" s="13" t="inlineStr">
        <is>
          <t>完成</t>
        </is>
      </c>
      <c r="D10" s="14" t="n">
        <v>1272</v>
      </c>
      <c r="E10" s="15" t="n">
        <v>0.018</v>
      </c>
      <c r="F10" s="16" t="n">
        <v>2.3</v>
      </c>
      <c r="G10" s="17" t="n">
        <v>287023</v>
      </c>
      <c r="H10" s="18" t="n">
        <v>1.4</v>
      </c>
      <c r="I10" s="19">
        <f>IF(OR(H10="",F10=""),"",H10/F10-1)</f>
        <v/>
      </c>
      <c r="J10" s="20" t="n">
        <v>287386</v>
      </c>
      <c r="K10" s="19">
        <f>IF(OR(J10="",G10=""),"",J10/G10-1)</f>
        <v/>
      </c>
      <c r="L10" s="21" t="n">
        <v>1.3</v>
      </c>
      <c r="M10" s="22">
        <f>IF(OR(L10="",F10=""),"",L10/F10-1)</f>
        <v/>
      </c>
      <c r="N10" s="23" t="n">
        <v>158396</v>
      </c>
      <c r="O10" s="22">
        <f>IF(OR(N10="",G10=""),"",N10/G10-1)</f>
        <v/>
      </c>
      <c r="P10" s="24" t="n">
        <v>2.6</v>
      </c>
      <c r="Q10" s="25">
        <f>IF(OR(P10="",F10=""),"",P10/F10-1)</f>
        <v/>
      </c>
      <c r="R10" s="26" t="n">
        <v>158220</v>
      </c>
      <c r="S10" s="25">
        <f>IF(OR(R10="",G10=""),"",R10/G10-1)</f>
        <v/>
      </c>
      <c r="T10" s="27" t="n">
        <v>2.4</v>
      </c>
      <c r="U10" s="28">
        <f>IF(OR(T10="",F10=""),"",T10/F10-1)</f>
        <v/>
      </c>
      <c r="V10" s="29" t="n">
        <v>298857</v>
      </c>
      <c r="W10" s="28">
        <f>IF(OR(V10="",G10=""),"",V10/G10-1)</f>
        <v/>
      </c>
      <c r="X10" s="30" t="n">
        <v>2.9</v>
      </c>
      <c r="Y10" s="31">
        <f>IF(OR(X10="",F10=""),"",X10/F10-1)</f>
        <v/>
      </c>
      <c r="Z10" s="32" t="n">
        <v>297291</v>
      </c>
      <c r="AA10" s="31">
        <f>IF(OR(Z10="",G10=""),"",Z10/G10-1)</f>
        <v/>
      </c>
    </row>
    <row r="11" ht="23" customHeight="1">
      <c r="A11" s="11" t="inlineStr">
        <is>
          <t>fri26</t>
        </is>
      </c>
      <c r="B11" s="12" t="n">
        <v>26</v>
      </c>
      <c r="C11" s="13" t="inlineStr">
        <is>
          <t>完成</t>
        </is>
      </c>
      <c r="D11" s="14" t="n">
        <v>937</v>
      </c>
      <c r="E11" s="15" t="n">
        <v>0.027</v>
      </c>
      <c r="F11" s="16" t="n">
        <v>3.8</v>
      </c>
      <c r="G11" s="17" t="n">
        <v>492159</v>
      </c>
      <c r="H11" s="18" t="n">
        <v>2.7</v>
      </c>
      <c r="I11" s="19">
        <f>IF(OR(H11="",F11=""),"",H11/F11-1)</f>
        <v/>
      </c>
      <c r="J11" s="20" t="n">
        <v>498093</v>
      </c>
      <c r="K11" s="19">
        <f>IF(OR(J11="",G11=""),"",J11/G11-1)</f>
        <v/>
      </c>
      <c r="L11" s="21" t="n">
        <v>2.1</v>
      </c>
      <c r="M11" s="22">
        <f>IF(OR(L11="",F11=""),"",L11/F11-1)</f>
        <v/>
      </c>
      <c r="N11" s="23" t="n">
        <v>265361</v>
      </c>
      <c r="O11" s="22">
        <f>IF(OR(N11="",G11=""),"",N11/G11-1)</f>
        <v/>
      </c>
      <c r="P11" s="24" t="n">
        <v>2.7</v>
      </c>
      <c r="Q11" s="25">
        <f>IF(OR(P11="",F11=""),"",P11/F11-1)</f>
        <v/>
      </c>
      <c r="R11" s="26" t="n">
        <v>264044</v>
      </c>
      <c r="S11" s="25">
        <f>IF(OR(R11="",G11=""),"",R11/G11-1)</f>
        <v/>
      </c>
      <c r="T11" s="27" t="n">
        <v>9.800000000000001</v>
      </c>
      <c r="U11" s="28">
        <f>IF(OR(T11="",F11=""),"",T11/F11-1)</f>
        <v/>
      </c>
      <c r="V11" s="29" t="n">
        <v>1481796</v>
      </c>
      <c r="W11" s="28">
        <f>IF(OR(V11="",G11=""),"",V11/G11-1)</f>
        <v/>
      </c>
      <c r="X11" s="30" t="n">
        <v>12.6</v>
      </c>
      <c r="Y11" s="31">
        <f>IF(OR(X11="",F11=""),"",X11/F11-1)</f>
        <v/>
      </c>
      <c r="Z11" s="32" t="n">
        <v>1470662</v>
      </c>
      <c r="AA11" s="31">
        <f>IF(OR(Z11="",G11=""),"",Z11/G11-1)</f>
        <v/>
      </c>
    </row>
    <row r="12" ht="23" customHeight="1">
      <c r="A12" s="11" t="inlineStr">
        <is>
          <t>bayg29</t>
        </is>
      </c>
      <c r="B12" s="12" t="n">
        <v>29</v>
      </c>
      <c r="C12" s="13" t="inlineStr">
        <is>
          <t>完成</t>
        </is>
      </c>
      <c r="D12" s="14" t="n">
        <v>1610</v>
      </c>
      <c r="E12" s="15" t="n">
        <v>0.018</v>
      </c>
      <c r="F12" s="16" t="n">
        <v>46.8</v>
      </c>
      <c r="G12" s="17" t="n">
        <v>6376947</v>
      </c>
      <c r="H12" s="18" t="n">
        <v>36</v>
      </c>
      <c r="I12" s="19">
        <f>IF(OR(H12="",F12=""),"",H12/F12-1)</f>
        <v/>
      </c>
      <c r="J12" s="20" t="n">
        <v>6408831</v>
      </c>
      <c r="K12" s="19">
        <f>IF(OR(J12="",G12=""),"",J12/G12-1)</f>
        <v/>
      </c>
      <c r="L12" s="21" t="n">
        <v>38.6</v>
      </c>
      <c r="M12" s="22">
        <f>IF(OR(L12="",F12=""),"",L12/F12-1)</f>
        <v/>
      </c>
      <c r="N12" s="23" t="n">
        <v>3624699</v>
      </c>
      <c r="O12" s="22">
        <f>IF(OR(N12="",G12=""),"",N12/G12-1)</f>
        <v/>
      </c>
      <c r="P12" s="24" t="n">
        <v>45</v>
      </c>
      <c r="Q12" s="25">
        <f>IF(OR(P12="",F12=""),"",P12/F12-1)</f>
        <v/>
      </c>
      <c r="R12" s="26" t="n">
        <v>3605784</v>
      </c>
      <c r="S12" s="25">
        <f>IF(OR(R12="",G12=""),"",R12/G12-1)</f>
        <v/>
      </c>
      <c r="T12" s="27" t="n">
        <v>126</v>
      </c>
      <c r="U12" s="28">
        <f>IF(OR(T12="",F12=""),"",T12/F12-1)</f>
        <v/>
      </c>
      <c r="V12" s="29" t="n">
        <v>12397531</v>
      </c>
      <c r="W12" s="28">
        <f>IF(OR(V12="",G12=""),"",V12/G12-1)</f>
        <v/>
      </c>
      <c r="X12" s="30" t="n">
        <v>168</v>
      </c>
      <c r="Y12" s="31">
        <f>IF(OR(X12="",F12=""),"",X12/F12-1)</f>
        <v/>
      </c>
      <c r="Z12" s="32" t="n">
        <v>12520142</v>
      </c>
      <c r="AA12" s="31">
        <f>IF(OR(Z12="",G12=""),"",Z12/G12-1)</f>
        <v/>
      </c>
    </row>
    <row r="13" ht="23" customHeight="1">
      <c r="A13" s="11" t="inlineStr">
        <is>
          <t>bays29</t>
        </is>
      </c>
      <c r="B13" s="12" t="n">
        <v>29</v>
      </c>
      <c r="C13" s="13" t="inlineStr">
        <is>
          <t>完成</t>
        </is>
      </c>
      <c r="D13" s="14" t="n">
        <v>2020</v>
      </c>
      <c r="E13" s="15" t="n">
        <v>0.033</v>
      </c>
      <c r="F13" s="16" t="n">
        <v>576</v>
      </c>
      <c r="G13" s="17" t="n">
        <v>81440628</v>
      </c>
      <c r="H13" s="18" t="n">
        <v>456</v>
      </c>
      <c r="I13" s="19">
        <f>IF(OR(H13="",F13=""),"",H13/F13-1)</f>
        <v/>
      </c>
      <c r="J13" s="20" t="n">
        <v>81083477</v>
      </c>
      <c r="K13" s="19">
        <f>IF(OR(J13="",G13=""),"",J13/G13-1)</f>
        <v/>
      </c>
      <c r="L13" s="21" t="n">
        <v>486</v>
      </c>
      <c r="M13" s="22">
        <f>IF(OR(L13="",F13=""),"",L13/F13-1)</f>
        <v/>
      </c>
      <c r="N13" s="23" t="n">
        <v>43913157</v>
      </c>
      <c r="O13" s="22">
        <f>IF(OR(N13="",G13=""),"",N13/G13-1)</f>
        <v/>
      </c>
      <c r="P13" s="24" t="n">
        <v>534</v>
      </c>
      <c r="Q13" s="25">
        <f>IF(OR(P13="",F13=""),"",P13/F13-1)</f>
        <v/>
      </c>
      <c r="R13" s="26" t="n">
        <v>44122386</v>
      </c>
      <c r="S13" s="25">
        <f>IF(OR(R13="",G13=""),"",R13/G13-1)</f>
        <v/>
      </c>
      <c r="T13" s="27" t="n">
        <v>792</v>
      </c>
      <c r="U13" s="28">
        <f>IF(OR(T13="",F13=""),"",T13/F13-1)</f>
        <v/>
      </c>
      <c r="V13" s="29" t="n">
        <v>92834745</v>
      </c>
      <c r="W13" s="28">
        <f>IF(OR(V13="",G13=""),"",V13/G13-1)</f>
        <v/>
      </c>
      <c r="X13" s="30" t="n">
        <v>840</v>
      </c>
      <c r="Y13" s="31">
        <f>IF(OR(X13="",F13=""),"",X13/F13-1)</f>
        <v/>
      </c>
      <c r="Z13" s="32" t="n">
        <v>88680956</v>
      </c>
      <c r="AA13" s="31">
        <f>IF(OR(Z13="",G13=""),"",Z13/G13-1)</f>
        <v/>
      </c>
    </row>
    <row r="14" ht="23" customHeight="1">
      <c r="A14" s="11" t="inlineStr">
        <is>
          <t>wi29</t>
        </is>
      </c>
      <c r="B14" s="12" t="n">
        <v>29</v>
      </c>
      <c r="C14" s="13" t="inlineStr">
        <is>
          <t>完成</t>
        </is>
      </c>
      <c r="D14" s="14" t="n">
        <v>27603</v>
      </c>
      <c r="E14" s="15" t="n">
        <v>0.046</v>
      </c>
      <c r="F14" s="16" t="n">
        <v>0.377</v>
      </c>
      <c r="G14" s="17" t="n">
        <v>38866</v>
      </c>
      <c r="H14" s="18" t="n">
        <v>0.288</v>
      </c>
      <c r="I14" s="19">
        <f>IF(OR(H14="",F14=""),"",H14/F14-1)</f>
        <v/>
      </c>
      <c r="J14" s="20" t="n">
        <v>38746</v>
      </c>
      <c r="K14" s="19">
        <f>IF(OR(J14="",G14=""),"",J14/G14-1)</f>
        <v/>
      </c>
      <c r="L14" s="21" t="n">
        <v>0.239</v>
      </c>
      <c r="M14" s="22">
        <f>IF(OR(L14="",F14=""),"",L14/F14-1)</f>
        <v/>
      </c>
      <c r="N14" s="23" t="n">
        <v>22343</v>
      </c>
      <c r="O14" s="22">
        <f>IF(OR(N14="",G14=""),"",N14/G14-1)</f>
        <v/>
      </c>
      <c r="P14" s="24" t="n">
        <v>0.356</v>
      </c>
      <c r="Q14" s="25">
        <f>IF(OR(P14="",F14=""),"",P14/F14-1)</f>
        <v/>
      </c>
      <c r="R14" s="26" t="n">
        <v>22423</v>
      </c>
      <c r="S14" s="25">
        <f>IF(OR(R14="",G14=""),"",R14/G14-1)</f>
        <v/>
      </c>
      <c r="T14" s="27" t="n">
        <v>120</v>
      </c>
      <c r="U14" s="28">
        <f>IF(OR(T14="",F14=""),"",T14/F14-1)</f>
        <v/>
      </c>
      <c r="V14" s="29" t="n">
        <v>14837661</v>
      </c>
      <c r="W14" s="28">
        <f>IF(OR(V14="",G14=""),"",V14/G14-1)</f>
        <v/>
      </c>
      <c r="X14" s="30" t="n">
        <v>144</v>
      </c>
      <c r="Y14" s="31">
        <f>IF(OR(X14="",F14=""),"",X14/F14-1)</f>
        <v/>
      </c>
      <c r="Z14" s="32" t="n">
        <v>14867815</v>
      </c>
      <c r="AA14" s="31">
        <f>IF(OR(Z14="",G14=""),"",Z14/G14-1)</f>
        <v/>
      </c>
    </row>
    <row r="15" ht="23" customHeight="1">
      <c r="A15" s="11" t="inlineStr">
        <is>
          <t>dj38</t>
        </is>
      </c>
      <c r="B15" s="12" t="n">
        <v>38</v>
      </c>
      <c r="C15" s="13" t="inlineStr">
        <is>
          <t>完成</t>
        </is>
      </c>
      <c r="D15" s="14" t="n">
        <v>6656</v>
      </c>
      <c r="E15" s="15" t="n">
        <v>0.03</v>
      </c>
      <c r="F15" s="16" t="n">
        <v>0.277</v>
      </c>
      <c r="G15" s="17" t="n">
        <v>12866</v>
      </c>
      <c r="H15" s="18" t="n">
        <v>0.142</v>
      </c>
      <c r="I15" s="19">
        <f>IF(OR(H15="",F15=""),"",H15/F15-1)</f>
        <v/>
      </c>
      <c r="J15" s="20" t="n">
        <v>12892</v>
      </c>
      <c r="K15" s="19">
        <f>IF(OR(J15="",G15=""),"",J15/G15-1)</f>
        <v/>
      </c>
      <c r="L15" s="21" t="n">
        <v>0.128</v>
      </c>
      <c r="M15" s="22">
        <f>IF(OR(L15="",F15=""),"",L15/F15-1)</f>
        <v/>
      </c>
      <c r="N15" s="23" t="n">
        <v>7977</v>
      </c>
      <c r="O15" s="22">
        <f>IF(OR(N15="",G15=""),"",N15/G15-1)</f>
        <v/>
      </c>
      <c r="P15" s="24" t="n">
        <v>0.184</v>
      </c>
      <c r="Q15" s="25">
        <f>IF(OR(P15="",F15=""),"",P15/F15-1)</f>
        <v/>
      </c>
      <c r="R15" s="26" t="n">
        <v>7990</v>
      </c>
      <c r="S15" s="25">
        <f>IF(OR(R15="",G15=""),"",R15/G15-1)</f>
        <v/>
      </c>
      <c r="T15" s="27" t="n">
        <v>8.9</v>
      </c>
      <c r="U15" s="28">
        <f>IF(OR(T15="",F15=""),"",T15/F15-1)</f>
        <v/>
      </c>
      <c r="V15" s="29" t="n">
        <v>790111</v>
      </c>
      <c r="W15" s="28">
        <f>IF(OR(V15="",G15=""),"",V15/G15-1)</f>
        <v/>
      </c>
      <c r="X15" s="30" t="n">
        <v>14.9</v>
      </c>
      <c r="Y15" s="31">
        <f>IF(OR(X15="",F15=""),"",X15/F15-1)</f>
        <v/>
      </c>
      <c r="Z15" s="32" t="n">
        <v>790892</v>
      </c>
      <c r="AA15" s="31">
        <f>IF(OR(Z15="",G15=""),"",Z15/G15-1)</f>
        <v/>
      </c>
    </row>
    <row r="16" ht="23" customHeight="1">
      <c r="A16" s="11" t="inlineStr">
        <is>
          <t>dantzig42</t>
        </is>
      </c>
      <c r="B16" s="12" t="n">
        <v>42</v>
      </c>
      <c r="C16" s="13" t="inlineStr">
        <is>
          <t>全部变体超时</t>
        </is>
      </c>
      <c r="D16" s="14" t="n"/>
      <c r="E16" s="15" t="n"/>
      <c r="F16" s="16" t="n"/>
      <c r="G16" s="17" t="n"/>
      <c r="H16" s="18" t="n"/>
      <c r="I16" s="19" t="n"/>
      <c r="J16" s="20" t="n"/>
      <c r="K16" s="19" t="n"/>
      <c r="L16" s="21" t="n"/>
      <c r="M16" s="22" t="n"/>
      <c r="N16" s="23" t="n"/>
      <c r="O16" s="22" t="n"/>
      <c r="P16" s="24" t="n"/>
      <c r="Q16" s="25" t="n"/>
      <c r="R16" s="26" t="n"/>
      <c r="S16" s="25" t="n"/>
      <c r="T16" s="27" t="n"/>
      <c r="U16" s="28" t="n"/>
      <c r="V16" s="29" t="n"/>
      <c r="W16" s="28" t="n"/>
      <c r="X16" s="30" t="n"/>
      <c r="Y16" s="31" t="n"/>
      <c r="Z16" s="32" t="n"/>
      <c r="AA16" s="31" t="n"/>
    </row>
    <row r="17" ht="23" customHeight="1">
      <c r="A17" s="11" t="inlineStr">
        <is>
          <t>swiss42</t>
        </is>
      </c>
      <c r="B17" s="12" t="n">
        <v>42</v>
      </c>
      <c r="C17" s="13" t="inlineStr">
        <is>
          <t>全部变体超时</t>
        </is>
      </c>
      <c r="D17" s="14" t="n"/>
      <c r="E17" s="15" t="n"/>
      <c r="F17" s="16" t="n"/>
      <c r="G17" s="17" t="n"/>
      <c r="H17" s="18" t="n"/>
      <c r="I17" s="19" t="n"/>
      <c r="J17" s="20" t="n"/>
      <c r="K17" s="19" t="n"/>
      <c r="L17" s="21" t="n"/>
      <c r="M17" s="22" t="n"/>
      <c r="N17" s="23" t="n"/>
      <c r="O17" s="22" t="n"/>
      <c r="P17" s="24" t="n"/>
      <c r="Q17" s="25" t="n"/>
      <c r="R17" s="26" t="n"/>
      <c r="S17" s="25" t="n"/>
      <c r="T17" s="27" t="n"/>
      <c r="U17" s="28" t="n"/>
      <c r="V17" s="29" t="n"/>
      <c r="W17" s="28" t="n"/>
      <c r="X17" s="30" t="n"/>
      <c r="Y17" s="31" t="n"/>
      <c r="Z17" s="32" t="n"/>
      <c r="AA17" s="31" t="n"/>
    </row>
    <row r="18" ht="23" customHeight="1">
      <c r="A18" s="11" t="inlineStr">
        <is>
          <t>att48</t>
        </is>
      </c>
      <c r="B18" s="12" t="n">
        <v>48</v>
      </c>
      <c r="C18" s="13" t="inlineStr">
        <is>
          <t>全部变体超时</t>
        </is>
      </c>
      <c r="D18" s="14" t="n"/>
      <c r="E18" s="15" t="n"/>
      <c r="F18" s="16" t="n"/>
      <c r="G18" s="17" t="n"/>
      <c r="H18" s="18" t="n"/>
      <c r="I18" s="19" t="n"/>
      <c r="J18" s="20" t="n"/>
      <c r="K18" s="19" t="n"/>
      <c r="L18" s="21" t="n"/>
      <c r="M18" s="22" t="n"/>
      <c r="N18" s="23" t="n"/>
      <c r="O18" s="22" t="n"/>
      <c r="P18" s="24" t="n"/>
      <c r="Q18" s="25" t="n"/>
      <c r="R18" s="26" t="n"/>
      <c r="S18" s="25" t="n"/>
      <c r="T18" s="27" t="n"/>
      <c r="U18" s="28" t="n"/>
      <c r="V18" s="29" t="n"/>
      <c r="W18" s="28" t="n"/>
      <c r="X18" s="30" t="n"/>
      <c r="Y18" s="31" t="n"/>
      <c r="Z18" s="32" t="n"/>
      <c r="AA18" s="31" t="n"/>
    </row>
    <row r="19" ht="23" customHeight="1">
      <c r="A19" s="11" t="inlineStr">
        <is>
          <t>gr48</t>
        </is>
      </c>
      <c r="B19" s="12" t="n">
        <v>48</v>
      </c>
      <c r="C19" s="13" t="inlineStr">
        <is>
          <t>全部变体超时</t>
        </is>
      </c>
      <c r="D19" s="14" t="n"/>
      <c r="E19" s="15" t="n"/>
      <c r="F19" s="16" t="n"/>
      <c r="G19" s="17" t="n"/>
      <c r="H19" s="18" t="n"/>
      <c r="I19" s="19" t="n"/>
      <c r="J19" s="20" t="n"/>
      <c r="K19" s="19" t="n"/>
      <c r="L19" s="21" t="n"/>
      <c r="M19" s="22" t="n"/>
      <c r="N19" s="23" t="n"/>
      <c r="O19" s="22" t="n"/>
      <c r="P19" s="24" t="n"/>
      <c r="Q19" s="25" t="n"/>
      <c r="R19" s="26" t="n"/>
      <c r="S19" s="25" t="n"/>
      <c r="T19" s="27" t="n"/>
      <c r="U19" s="28" t="n"/>
      <c r="V19" s="29" t="n"/>
      <c r="W19" s="28" t="n"/>
      <c r="X19" s="30" t="n"/>
      <c r="Y19" s="31" t="n"/>
      <c r="Z19" s="32" t="n"/>
      <c r="AA19" s="31" t="n"/>
    </row>
    <row r="20" ht="23" customHeight="1">
      <c r="A20" s="11" t="inlineStr">
        <is>
          <t>hk48</t>
        </is>
      </c>
      <c r="B20" s="12" t="n">
        <v>48</v>
      </c>
      <c r="C20" s="13" t="inlineStr">
        <is>
          <t>全部变体超时</t>
        </is>
      </c>
      <c r="D20" s="14" t="n"/>
      <c r="E20" s="15" t="n"/>
      <c r="F20" s="16" t="n"/>
      <c r="G20" s="17" t="n"/>
      <c r="H20" s="18" t="n"/>
      <c r="I20" s="19" t="n"/>
      <c r="J20" s="20" t="n"/>
      <c r="K20" s="19" t="n"/>
      <c r="L20" s="21" t="n"/>
      <c r="M20" s="22" t="n"/>
      <c r="N20" s="23" t="n"/>
      <c r="O20" s="22" t="n"/>
      <c r="P20" s="24" t="n"/>
      <c r="Q20" s="25" t="n"/>
      <c r="R20" s="26" t="n"/>
      <c r="S20" s="25" t="n"/>
      <c r="T20" s="27" t="n"/>
      <c r="U20" s="28" t="n"/>
      <c r="V20" s="29" t="n"/>
      <c r="W20" s="28" t="n"/>
      <c r="X20" s="30" t="n"/>
      <c r="Y20" s="31" t="n"/>
      <c r="Z20" s="32" t="n"/>
      <c r="AA20" s="31" t="n"/>
    </row>
  </sheetData>
  <mergeCells count="13">
    <mergeCell ref="F4:G4"/>
    <mergeCell ref="H4:K4"/>
    <mergeCell ref="B4:B5"/>
    <mergeCell ref="C4:C5"/>
    <mergeCell ref="A4:A5"/>
    <mergeCell ref="T4:W4"/>
    <mergeCell ref="D4:D5"/>
    <mergeCell ref="E4:E5"/>
    <mergeCell ref="X4:AA4"/>
    <mergeCell ref="A2:AA2"/>
    <mergeCell ref="L4:O4"/>
    <mergeCell ref="P4:S4"/>
    <mergeCell ref="A1:AA1"/>
  </mergeCells>
  <conditionalFormatting sqref="A6:AA20">
    <cfRule type="expression" priority="1" dxfId="0">
      <formula>$C6="全部变体超时"</formula>
    </cfRule>
  </conditionalFormatting>
  <conditionalFormatting sqref="I6:I20">
    <cfRule type="cellIs" priority="2" operator="lessThan" dxfId="1">
      <formula>0</formula>
    </cfRule>
    <cfRule type="cellIs" priority="3" operator="greaterThan" dxfId="2">
      <formula>0</formula>
    </cfRule>
  </conditionalFormatting>
  <conditionalFormatting sqref="K6:K20">
    <cfRule type="cellIs" priority="4" operator="lessThan" dxfId="1">
      <formula>0</formula>
    </cfRule>
    <cfRule type="cellIs" priority="5" operator="greaterThan" dxfId="2">
      <formula>0</formula>
    </cfRule>
  </conditionalFormatting>
  <conditionalFormatting sqref="M6:M20">
    <cfRule type="cellIs" priority="6" operator="lessThan" dxfId="1">
      <formula>0</formula>
    </cfRule>
    <cfRule type="cellIs" priority="7" operator="greaterThan" dxfId="2">
      <formula>0</formula>
    </cfRule>
  </conditionalFormatting>
  <conditionalFormatting sqref="O6:O20">
    <cfRule type="cellIs" priority="8" operator="lessThan" dxfId="1">
      <formula>0</formula>
    </cfRule>
    <cfRule type="cellIs" priority="9" operator="greaterThan" dxfId="2">
      <formula>0</formula>
    </cfRule>
  </conditionalFormatting>
  <conditionalFormatting sqref="Q6:Q20">
    <cfRule type="cellIs" priority="10" operator="lessThan" dxfId="1">
      <formula>0</formula>
    </cfRule>
    <cfRule type="cellIs" priority="11" operator="greaterThan" dxfId="2">
      <formula>0</formula>
    </cfRule>
  </conditionalFormatting>
  <conditionalFormatting sqref="S6:S20">
    <cfRule type="cellIs" priority="12" operator="lessThan" dxfId="1">
      <formula>0</formula>
    </cfRule>
    <cfRule type="cellIs" priority="13" operator="greaterThan" dxfId="2">
      <formula>0</formula>
    </cfRule>
  </conditionalFormatting>
  <conditionalFormatting sqref="U6:U20">
    <cfRule type="cellIs" priority="14" operator="lessThan" dxfId="1">
      <formula>0</formula>
    </cfRule>
    <cfRule type="cellIs" priority="15" operator="greaterThan" dxfId="2">
      <formula>0</formula>
    </cfRule>
  </conditionalFormatting>
  <conditionalFormatting sqref="W6:W20">
    <cfRule type="cellIs" priority="16" operator="lessThan" dxfId="1">
      <formula>0</formula>
    </cfRule>
    <cfRule type="cellIs" priority="17" operator="greaterThan" dxfId="2">
      <formula>0</formula>
    </cfRule>
  </conditionalFormatting>
  <conditionalFormatting sqref="Y6:Y20">
    <cfRule type="cellIs" priority="18" operator="lessThan" dxfId="1">
      <formula>0</formula>
    </cfRule>
    <cfRule type="cellIs" priority="19" operator="greaterThan" dxfId="2">
      <formula>0</formula>
    </cfRule>
  </conditionalFormatting>
  <conditionalFormatting sqref="AA6:AA20">
    <cfRule type="cellIs" priority="20" operator="lessThan" dxfId="1">
      <formula>0</formula>
    </cfRule>
    <cfRule type="cellIs" priority="21" operator="greaterThan" dxfId="2">
      <formula>0</formula>
    </cfRule>
  </conditionalFormatting>
  <pageMargins left="0.2" right="0.2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0"/>
  <sheetViews>
    <sheetView showGridLines="0" zoomScale="7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14" customWidth="1" min="5" max="5"/>
    <col width="17" customWidth="1" min="6" max="6"/>
    <col width="13" customWidth="1" min="7" max="7"/>
    <col width="17" customWidth="1" min="8" max="8"/>
    <col width="20" customWidth="1" min="9" max="9"/>
    <col width="13" customWidth="1" min="10" max="10"/>
    <col width="14" customWidth="1" min="11" max="11"/>
    <col width="17" customWidth="1" min="12" max="12"/>
    <col width="13" customWidth="1" min="13" max="13"/>
    <col width="17" customWidth="1" min="14" max="14"/>
    <col width="20" customWidth="1" min="15" max="15"/>
    <col width="13" customWidth="1" min="16" max="16"/>
    <col width="14" customWidth="1" min="17" max="17"/>
    <col width="17" customWidth="1" min="18" max="18"/>
    <col width="13" customWidth="1" min="19" max="19"/>
    <col width="17" customWidth="1" min="20" max="20"/>
    <col width="20" customWidth="1" min="21" max="21"/>
    <col width="13" customWidth="1" min="22" max="22"/>
  </cols>
  <sheetData>
    <row r="1" ht="30" customHeight="1">
      <c r="A1" s="1" t="inlineStr">
        <is>
          <t>Incremental 与对应 Full 版本逐实例对比</t>
        </is>
      </c>
    </row>
    <row r="2" ht="38" customHeight="1">
      <c r="A2" s="33" t="inlineStr">
        <is>
          <t>每组 Δ% = incremental / 对应 full − 1；负值表示 incremental 更快或展开节点更少。时间统一为秒；Expanded 为展开节点数（分支树规模代理）；超时实例相关指标留空。</t>
        </is>
      </c>
    </row>
    <row r="3" ht="8" customHeight="1"/>
    <row r="4" ht="36" customHeight="1">
      <c r="A4" s="3" t="inlineStr">
        <is>
          <t>实例</t>
        </is>
      </c>
      <c r="B4" s="3" t="inlineStr">
        <is>
          <t>n</t>
        </is>
      </c>
      <c r="C4" s="3" t="inlineStr">
        <is>
          <t>状态</t>
        </is>
      </c>
      <c r="D4" s="3" t="inlineStr">
        <is>
          <t>最优成本</t>
        </is>
      </c>
      <c r="E4" s="34" t="inlineStr">
        <is>
          <t>Smart DFS：incremental vs full
tsp_bb_26_07_02 / tsp_bb_26_07_02_full</t>
        </is>
      </c>
      <c r="F4" s="34" t="n"/>
      <c r="G4" s="34" t="n"/>
      <c r="H4" s="34" t="n"/>
      <c r="I4" s="34" t="n"/>
      <c r="J4" s="34" t="n"/>
      <c r="K4" s="35" t="inlineStr">
        <is>
          <t>BP degree：incremental vs full
tsp_bb_26_07_14_deg / tsp_bb_26_07_14_full_deg</t>
        </is>
      </c>
      <c r="L4" s="35" t="n"/>
      <c r="M4" s="35" t="n"/>
      <c r="N4" s="35" t="n"/>
      <c r="O4" s="35" t="n"/>
      <c r="P4" s="35" t="n"/>
      <c r="Q4" s="36" t="inlineStr">
        <is>
          <t>BP min_edge：incremental vs full
tsp_bb_26_07_14_min_edge / tsp_bb_26_07_14_full_min_edge</t>
        </is>
      </c>
      <c r="R4" s="36" t="n"/>
      <c r="S4" s="36" t="n"/>
      <c r="T4" s="36" t="n"/>
      <c r="U4" s="36" t="n"/>
      <c r="V4" s="36" t="n"/>
    </row>
    <row r="5" ht="34" customHeight="1">
      <c r="E5" s="34" t="inlineStr">
        <is>
          <t>Full 时间 (s)</t>
        </is>
      </c>
      <c r="F5" s="34" t="inlineStr">
        <is>
          <t>Incremental 时间 (s)</t>
        </is>
      </c>
      <c r="G5" s="34" t="inlineStr">
        <is>
          <t>时间 Δ%</t>
        </is>
      </c>
      <c r="H5" s="34" t="inlineStr">
        <is>
          <t>Full Expanded</t>
        </is>
      </c>
      <c r="I5" s="34" t="inlineStr">
        <is>
          <t>Incremental Expanded</t>
        </is>
      </c>
      <c r="J5" s="34" t="inlineStr">
        <is>
          <t>节点 Δ%</t>
        </is>
      </c>
      <c r="K5" s="35" t="inlineStr">
        <is>
          <t>Full 时间 (s)</t>
        </is>
      </c>
      <c r="L5" s="35" t="inlineStr">
        <is>
          <t>Incremental 时间 (s)</t>
        </is>
      </c>
      <c r="M5" s="35" t="inlineStr">
        <is>
          <t>时间 Δ%</t>
        </is>
      </c>
      <c r="N5" s="35" t="inlineStr">
        <is>
          <t>Full Expanded</t>
        </is>
      </c>
      <c r="O5" s="35" t="inlineStr">
        <is>
          <t>Incremental Expanded</t>
        </is>
      </c>
      <c r="P5" s="35" t="inlineStr">
        <is>
          <t>节点 Δ%</t>
        </is>
      </c>
      <c r="Q5" s="36" t="inlineStr">
        <is>
          <t>Full 时间 (s)</t>
        </is>
      </c>
      <c r="R5" s="36" t="inlineStr">
        <is>
          <t>Incremental 时间 (s)</t>
        </is>
      </c>
      <c r="S5" s="36" t="inlineStr">
        <is>
          <t>时间 Δ%</t>
        </is>
      </c>
      <c r="T5" s="36" t="inlineStr">
        <is>
          <t>Full Expanded</t>
        </is>
      </c>
      <c r="U5" s="36" t="inlineStr">
        <is>
          <t>Incremental Expanded</t>
        </is>
      </c>
      <c r="V5" s="36" t="inlineStr">
        <is>
          <t>节点 Δ%</t>
        </is>
      </c>
    </row>
    <row r="6" ht="23" customHeight="1">
      <c r="A6" s="11" t="inlineStr">
        <is>
          <t>burma14</t>
        </is>
      </c>
      <c r="B6" s="37" t="n">
        <v>14</v>
      </c>
      <c r="C6" s="13" t="inlineStr">
        <is>
          <t>完成</t>
        </is>
      </c>
      <c r="D6" s="38" t="n">
        <v>3323</v>
      </c>
      <c r="E6" s="39" t="n">
        <v>0.039</v>
      </c>
      <c r="F6" s="40" t="n">
        <v>0.037</v>
      </c>
      <c r="G6" s="41">
        <f>IF(OR(F6="",E6=""),"",F6/E6-1)</f>
        <v/>
      </c>
      <c r="H6" s="42" t="n">
        <v>9162</v>
      </c>
      <c r="I6" s="43" t="n">
        <v>9162</v>
      </c>
      <c r="J6" s="41">
        <f>IF(OR(I6="",H6=""),"",I6/H6-1)</f>
        <v/>
      </c>
      <c r="K6" s="39" t="n">
        <v>0.039</v>
      </c>
      <c r="L6" s="40" t="n">
        <v>0.034</v>
      </c>
      <c r="M6" s="41">
        <f>IF(OR(L6="",K6=""),"",L6/K6-1)</f>
        <v/>
      </c>
      <c r="N6" s="42" t="n">
        <v>4582</v>
      </c>
      <c r="O6" s="43" t="n">
        <v>4582</v>
      </c>
      <c r="P6" s="41">
        <f>IF(OR(O6="",N6=""),"",O6/N6-1)</f>
        <v/>
      </c>
      <c r="Q6" s="39" t="n">
        <v>0.057</v>
      </c>
      <c r="R6" s="40" t="n">
        <v>0.057</v>
      </c>
      <c r="S6" s="41">
        <f>IF(OR(R6="",Q6=""),"",R6/Q6-1)</f>
        <v/>
      </c>
      <c r="T6" s="42" t="n">
        <v>9217</v>
      </c>
      <c r="U6" s="43" t="n">
        <v>9152</v>
      </c>
      <c r="V6" s="41">
        <f>IF(OR(U6="",T6=""),"",U6/T6-1)</f>
        <v/>
      </c>
    </row>
    <row r="7" ht="23" customHeight="1">
      <c r="A7" s="11" t="inlineStr">
        <is>
          <t>ulysses16</t>
        </is>
      </c>
      <c r="B7" s="37" t="n">
        <v>16</v>
      </c>
      <c r="C7" s="13" t="inlineStr">
        <is>
          <t>完成</t>
        </is>
      </c>
      <c r="D7" s="38" t="n">
        <v>6859</v>
      </c>
      <c r="E7" s="39" t="n">
        <v>23.4</v>
      </c>
      <c r="F7" s="40" t="n">
        <v>18.3</v>
      </c>
      <c r="G7" s="41">
        <f>IF(OR(F7="",E7=""),"",F7/E7-1)</f>
        <v/>
      </c>
      <c r="H7" s="42" t="n">
        <v>7797474</v>
      </c>
      <c r="I7" s="43" t="n">
        <v>7797474</v>
      </c>
      <c r="J7" s="41">
        <f>IF(OR(I7="",H7=""),"",I7/H7-1)</f>
        <v/>
      </c>
      <c r="K7" s="39" t="n">
        <v>23.3</v>
      </c>
      <c r="L7" s="40" t="n">
        <v>16.3</v>
      </c>
      <c r="M7" s="41">
        <f>IF(OR(L7="",K7=""),"",L7/K7-1)</f>
        <v/>
      </c>
      <c r="N7" s="42" t="n">
        <v>3883908</v>
      </c>
      <c r="O7" s="43" t="n">
        <v>3883908</v>
      </c>
      <c r="P7" s="41">
        <f>IF(OR(O7="",N7=""),"",O7/N7-1)</f>
        <v/>
      </c>
      <c r="Q7" s="39" t="n">
        <v>27.8</v>
      </c>
      <c r="R7" s="40" t="n">
        <v>19.9</v>
      </c>
      <c r="S7" s="41">
        <f>IF(OR(R7="",Q7=""),"",R7/Q7-1)</f>
        <v/>
      </c>
      <c r="T7" s="42" t="n">
        <v>4292704</v>
      </c>
      <c r="U7" s="43" t="n">
        <v>4286714</v>
      </c>
      <c r="V7" s="41">
        <f>IF(OR(U7="",T7=""),"",U7/T7-1)</f>
        <v/>
      </c>
    </row>
    <row r="8" ht="23" customHeight="1">
      <c r="A8" s="11" t="inlineStr">
        <is>
          <t>gr17</t>
        </is>
      </c>
      <c r="B8" s="37" t="n">
        <v>17</v>
      </c>
      <c r="C8" s="13" t="inlineStr">
        <is>
          <t>完成</t>
        </is>
      </c>
      <c r="D8" s="38" t="n">
        <v>2085</v>
      </c>
      <c r="E8" s="39" t="n">
        <v>3.7</v>
      </c>
      <c r="F8" s="40" t="n">
        <v>2.8</v>
      </c>
      <c r="G8" s="41">
        <f>IF(OR(F8="",E8=""),"",F8/E8-1)</f>
        <v/>
      </c>
      <c r="H8" s="42" t="n">
        <v>920131</v>
      </c>
      <c r="I8" s="43" t="n">
        <v>920131</v>
      </c>
      <c r="J8" s="41">
        <f>IF(OR(I8="",H8=""),"",I8/H8-1)</f>
        <v/>
      </c>
      <c r="K8" s="39" t="n">
        <v>2.9</v>
      </c>
      <c r="L8" s="40" t="n">
        <v>2.9</v>
      </c>
      <c r="M8" s="41">
        <f>IF(OR(L8="",K8=""),"",L8/K8-1)</f>
        <v/>
      </c>
      <c r="N8" s="42" t="n">
        <v>463820</v>
      </c>
      <c r="O8" s="43" t="n">
        <v>463820</v>
      </c>
      <c r="P8" s="41">
        <f>IF(OR(O8="",N8=""),"",O8/N8-1)</f>
        <v/>
      </c>
      <c r="Q8" s="39" t="n">
        <v>5</v>
      </c>
      <c r="R8" s="40" t="n">
        <v>3.8</v>
      </c>
      <c r="S8" s="41">
        <f>IF(OR(R8="",Q8=""),"",R8/Q8-1)</f>
        <v/>
      </c>
      <c r="T8" s="42" t="n">
        <v>676329</v>
      </c>
      <c r="U8" s="43" t="n">
        <v>676809</v>
      </c>
      <c r="V8" s="41">
        <f>IF(OR(U8="",T8=""),"",U8/T8-1)</f>
        <v/>
      </c>
    </row>
    <row r="9" ht="23" customHeight="1">
      <c r="A9" s="11" t="inlineStr">
        <is>
          <t>gr21</t>
        </is>
      </c>
      <c r="B9" s="37" t="n">
        <v>21</v>
      </c>
      <c r="C9" s="13" t="inlineStr">
        <is>
          <t>完成</t>
        </is>
      </c>
      <c r="D9" s="38" t="n">
        <v>2707</v>
      </c>
      <c r="E9" s="39" t="n">
        <v>0.099</v>
      </c>
      <c r="F9" s="40" t="n">
        <v>0.08400000000000001</v>
      </c>
      <c r="G9" s="41">
        <f>IF(OR(F9="",E9=""),"",F9/E9-1)</f>
        <v/>
      </c>
      <c r="H9" s="42" t="n">
        <v>17314</v>
      </c>
      <c r="I9" s="43" t="n">
        <v>19352</v>
      </c>
      <c r="J9" s="41">
        <f>IF(OR(I9="",H9=""),"",I9/H9-1)</f>
        <v/>
      </c>
      <c r="K9" s="39" t="n">
        <v>0.097</v>
      </c>
      <c r="L9" s="40" t="n">
        <v>0.102</v>
      </c>
      <c r="M9" s="41">
        <f>IF(OR(L9="",K9=""),"",L9/K9-1)</f>
        <v/>
      </c>
      <c r="N9" s="42" t="n">
        <v>9911</v>
      </c>
      <c r="O9" s="43" t="n">
        <v>11193</v>
      </c>
      <c r="P9" s="41">
        <f>IF(OR(O9="",N9=""),"",O9/N9-1)</f>
        <v/>
      </c>
      <c r="Q9" s="39" t="n">
        <v>0.254</v>
      </c>
      <c r="R9" s="40" t="n">
        <v>0.13</v>
      </c>
      <c r="S9" s="41">
        <f>IF(OR(R9="",Q9=""),"",R9/Q9-1)</f>
        <v/>
      </c>
      <c r="T9" s="42" t="n">
        <v>24876</v>
      </c>
      <c r="U9" s="43" t="n">
        <v>24863</v>
      </c>
      <c r="V9" s="41">
        <f>IF(OR(U9="",T9=""),"",U9/T9-1)</f>
        <v/>
      </c>
    </row>
    <row r="10" ht="23" customHeight="1">
      <c r="A10" s="11" t="inlineStr">
        <is>
          <t>gr24</t>
        </is>
      </c>
      <c r="B10" s="37" t="n">
        <v>24</v>
      </c>
      <c r="C10" s="13" t="inlineStr">
        <is>
          <t>完成</t>
        </is>
      </c>
      <c r="D10" s="38" t="n">
        <v>1272</v>
      </c>
      <c r="E10" s="39" t="n">
        <v>2.3</v>
      </c>
      <c r="F10" s="40" t="n">
        <v>1.4</v>
      </c>
      <c r="G10" s="41">
        <f>IF(OR(F10="",E10=""),"",F10/E10-1)</f>
        <v/>
      </c>
      <c r="H10" s="42" t="n">
        <v>287023</v>
      </c>
      <c r="I10" s="43" t="n">
        <v>287386</v>
      </c>
      <c r="J10" s="41">
        <f>IF(OR(I10="",H10=""),"",I10/H10-1)</f>
        <v/>
      </c>
      <c r="K10" s="39" t="n">
        <v>2.6</v>
      </c>
      <c r="L10" s="40" t="n">
        <v>1.3</v>
      </c>
      <c r="M10" s="41">
        <f>IF(OR(L10="",K10=""),"",L10/K10-1)</f>
        <v/>
      </c>
      <c r="N10" s="42" t="n">
        <v>158220</v>
      </c>
      <c r="O10" s="43" t="n">
        <v>158396</v>
      </c>
      <c r="P10" s="41">
        <f>IF(OR(O10="",N10=""),"",O10/N10-1)</f>
        <v/>
      </c>
      <c r="Q10" s="39" t="n">
        <v>2.9</v>
      </c>
      <c r="R10" s="40" t="n">
        <v>2.4</v>
      </c>
      <c r="S10" s="41">
        <f>IF(OR(R10="",Q10=""),"",R10/Q10-1)</f>
        <v/>
      </c>
      <c r="T10" s="42" t="n">
        <v>297291</v>
      </c>
      <c r="U10" s="43" t="n">
        <v>298857</v>
      </c>
      <c r="V10" s="41">
        <f>IF(OR(U10="",T10=""),"",U10/T10-1)</f>
        <v/>
      </c>
    </row>
    <row r="11" ht="23" customHeight="1">
      <c r="A11" s="11" t="inlineStr">
        <is>
          <t>fri26</t>
        </is>
      </c>
      <c r="B11" s="37" t="n">
        <v>26</v>
      </c>
      <c r="C11" s="13" t="inlineStr">
        <is>
          <t>完成</t>
        </is>
      </c>
      <c r="D11" s="38" t="n">
        <v>937</v>
      </c>
      <c r="E11" s="39" t="n">
        <v>3.8</v>
      </c>
      <c r="F11" s="40" t="n">
        <v>2.7</v>
      </c>
      <c r="G11" s="41">
        <f>IF(OR(F11="",E11=""),"",F11/E11-1)</f>
        <v/>
      </c>
      <c r="H11" s="42" t="n">
        <v>492159</v>
      </c>
      <c r="I11" s="43" t="n">
        <v>498093</v>
      </c>
      <c r="J11" s="41">
        <f>IF(OR(I11="",H11=""),"",I11/H11-1)</f>
        <v/>
      </c>
      <c r="K11" s="39" t="n">
        <v>2.7</v>
      </c>
      <c r="L11" s="40" t="n">
        <v>2.1</v>
      </c>
      <c r="M11" s="41">
        <f>IF(OR(L11="",K11=""),"",L11/K11-1)</f>
        <v/>
      </c>
      <c r="N11" s="42" t="n">
        <v>264044</v>
      </c>
      <c r="O11" s="43" t="n">
        <v>265361</v>
      </c>
      <c r="P11" s="41">
        <f>IF(OR(O11="",N11=""),"",O11/N11-1)</f>
        <v/>
      </c>
      <c r="Q11" s="39" t="n">
        <v>12.6</v>
      </c>
      <c r="R11" s="40" t="n">
        <v>9.800000000000001</v>
      </c>
      <c r="S11" s="41">
        <f>IF(OR(R11="",Q11=""),"",R11/Q11-1)</f>
        <v/>
      </c>
      <c r="T11" s="42" t="n">
        <v>1470662</v>
      </c>
      <c r="U11" s="43" t="n">
        <v>1481796</v>
      </c>
      <c r="V11" s="41">
        <f>IF(OR(U11="",T11=""),"",U11/T11-1)</f>
        <v/>
      </c>
    </row>
    <row r="12" ht="23" customHeight="1">
      <c r="A12" s="11" t="inlineStr">
        <is>
          <t>bayg29</t>
        </is>
      </c>
      <c r="B12" s="37" t="n">
        <v>29</v>
      </c>
      <c r="C12" s="13" t="inlineStr">
        <is>
          <t>完成</t>
        </is>
      </c>
      <c r="D12" s="38" t="n">
        <v>1610</v>
      </c>
      <c r="E12" s="39" t="n">
        <v>46.8</v>
      </c>
      <c r="F12" s="40" t="n">
        <v>36</v>
      </c>
      <c r="G12" s="41">
        <f>IF(OR(F12="",E12=""),"",F12/E12-1)</f>
        <v/>
      </c>
      <c r="H12" s="42" t="n">
        <v>6376947</v>
      </c>
      <c r="I12" s="43" t="n">
        <v>6408831</v>
      </c>
      <c r="J12" s="41">
        <f>IF(OR(I12="",H12=""),"",I12/H12-1)</f>
        <v/>
      </c>
      <c r="K12" s="39" t="n">
        <v>45</v>
      </c>
      <c r="L12" s="40" t="n">
        <v>38.6</v>
      </c>
      <c r="M12" s="41">
        <f>IF(OR(L12="",K12=""),"",L12/K12-1)</f>
        <v/>
      </c>
      <c r="N12" s="42" t="n">
        <v>3605784</v>
      </c>
      <c r="O12" s="43" t="n">
        <v>3624699</v>
      </c>
      <c r="P12" s="41">
        <f>IF(OR(O12="",N12=""),"",O12/N12-1)</f>
        <v/>
      </c>
      <c r="Q12" s="39" t="n">
        <v>168</v>
      </c>
      <c r="R12" s="40" t="n">
        <v>126</v>
      </c>
      <c r="S12" s="41">
        <f>IF(OR(R12="",Q12=""),"",R12/Q12-1)</f>
        <v/>
      </c>
      <c r="T12" s="42" t="n">
        <v>12520142</v>
      </c>
      <c r="U12" s="43" t="n">
        <v>12397531</v>
      </c>
      <c r="V12" s="41">
        <f>IF(OR(U12="",T12=""),"",U12/T12-1)</f>
        <v/>
      </c>
    </row>
    <row r="13" ht="23" customHeight="1">
      <c r="A13" s="11" t="inlineStr">
        <is>
          <t>bays29</t>
        </is>
      </c>
      <c r="B13" s="37" t="n">
        <v>29</v>
      </c>
      <c r="C13" s="13" t="inlineStr">
        <is>
          <t>完成</t>
        </is>
      </c>
      <c r="D13" s="38" t="n">
        <v>2020</v>
      </c>
      <c r="E13" s="39" t="n">
        <v>576</v>
      </c>
      <c r="F13" s="40" t="n">
        <v>456</v>
      </c>
      <c r="G13" s="41">
        <f>IF(OR(F13="",E13=""),"",F13/E13-1)</f>
        <v/>
      </c>
      <c r="H13" s="42" t="n">
        <v>81440628</v>
      </c>
      <c r="I13" s="43" t="n">
        <v>81083477</v>
      </c>
      <c r="J13" s="41">
        <f>IF(OR(I13="",H13=""),"",I13/H13-1)</f>
        <v/>
      </c>
      <c r="K13" s="39" t="n">
        <v>534</v>
      </c>
      <c r="L13" s="40" t="n">
        <v>486</v>
      </c>
      <c r="M13" s="41">
        <f>IF(OR(L13="",K13=""),"",L13/K13-1)</f>
        <v/>
      </c>
      <c r="N13" s="42" t="n">
        <v>44122386</v>
      </c>
      <c r="O13" s="43" t="n">
        <v>43913157</v>
      </c>
      <c r="P13" s="41">
        <f>IF(OR(O13="",N13=""),"",O13/N13-1)</f>
        <v/>
      </c>
      <c r="Q13" s="39" t="n">
        <v>840</v>
      </c>
      <c r="R13" s="40" t="n">
        <v>792</v>
      </c>
      <c r="S13" s="41">
        <f>IF(OR(R13="",Q13=""),"",R13/Q13-1)</f>
        <v/>
      </c>
      <c r="T13" s="42" t="n">
        <v>88680956</v>
      </c>
      <c r="U13" s="43" t="n">
        <v>92834745</v>
      </c>
      <c r="V13" s="41">
        <f>IF(OR(U13="",T13=""),"",U13/T13-1)</f>
        <v/>
      </c>
    </row>
    <row r="14" ht="23" customHeight="1">
      <c r="A14" s="11" t="inlineStr">
        <is>
          <t>wi29</t>
        </is>
      </c>
      <c r="B14" s="37" t="n">
        <v>29</v>
      </c>
      <c r="C14" s="13" t="inlineStr">
        <is>
          <t>完成</t>
        </is>
      </c>
      <c r="D14" s="38" t="n">
        <v>27603</v>
      </c>
      <c r="E14" s="39" t="n">
        <v>0.377</v>
      </c>
      <c r="F14" s="40" t="n">
        <v>0.288</v>
      </c>
      <c r="G14" s="41">
        <f>IF(OR(F14="",E14=""),"",F14/E14-1)</f>
        <v/>
      </c>
      <c r="H14" s="42" t="n">
        <v>38866</v>
      </c>
      <c r="I14" s="43" t="n">
        <v>38746</v>
      </c>
      <c r="J14" s="41">
        <f>IF(OR(I14="",H14=""),"",I14/H14-1)</f>
        <v/>
      </c>
      <c r="K14" s="39" t="n">
        <v>0.356</v>
      </c>
      <c r="L14" s="40" t="n">
        <v>0.239</v>
      </c>
      <c r="M14" s="41">
        <f>IF(OR(L14="",K14=""),"",L14/K14-1)</f>
        <v/>
      </c>
      <c r="N14" s="42" t="n">
        <v>22423</v>
      </c>
      <c r="O14" s="43" t="n">
        <v>22343</v>
      </c>
      <c r="P14" s="41">
        <f>IF(OR(O14="",N14=""),"",O14/N14-1)</f>
        <v/>
      </c>
      <c r="Q14" s="39" t="n">
        <v>144</v>
      </c>
      <c r="R14" s="40" t="n">
        <v>120</v>
      </c>
      <c r="S14" s="41">
        <f>IF(OR(R14="",Q14=""),"",R14/Q14-1)</f>
        <v/>
      </c>
      <c r="T14" s="42" t="n">
        <v>14867815</v>
      </c>
      <c r="U14" s="43" t="n">
        <v>14837661</v>
      </c>
      <c r="V14" s="41">
        <f>IF(OR(U14="",T14=""),"",U14/T14-1)</f>
        <v/>
      </c>
    </row>
    <row r="15" ht="23" customHeight="1">
      <c r="A15" s="11" t="inlineStr">
        <is>
          <t>dj38</t>
        </is>
      </c>
      <c r="B15" s="37" t="n">
        <v>38</v>
      </c>
      <c r="C15" s="13" t="inlineStr">
        <is>
          <t>完成</t>
        </is>
      </c>
      <c r="D15" s="38" t="n">
        <v>6656</v>
      </c>
      <c r="E15" s="39" t="n">
        <v>0.277</v>
      </c>
      <c r="F15" s="40" t="n">
        <v>0.142</v>
      </c>
      <c r="G15" s="41">
        <f>IF(OR(F15="",E15=""),"",F15/E15-1)</f>
        <v/>
      </c>
      <c r="H15" s="42" t="n">
        <v>12866</v>
      </c>
      <c r="I15" s="43" t="n">
        <v>12892</v>
      </c>
      <c r="J15" s="41">
        <f>IF(OR(I15="",H15=""),"",I15/H15-1)</f>
        <v/>
      </c>
      <c r="K15" s="39" t="n">
        <v>0.184</v>
      </c>
      <c r="L15" s="40" t="n">
        <v>0.128</v>
      </c>
      <c r="M15" s="41">
        <f>IF(OR(L15="",K15=""),"",L15/K15-1)</f>
        <v/>
      </c>
      <c r="N15" s="42" t="n">
        <v>7990</v>
      </c>
      <c r="O15" s="43" t="n">
        <v>7977</v>
      </c>
      <c r="P15" s="41">
        <f>IF(OR(O15="",N15=""),"",O15/N15-1)</f>
        <v/>
      </c>
      <c r="Q15" s="39" t="n">
        <v>14.9</v>
      </c>
      <c r="R15" s="40" t="n">
        <v>8.9</v>
      </c>
      <c r="S15" s="41">
        <f>IF(OR(R15="",Q15=""),"",R15/Q15-1)</f>
        <v/>
      </c>
      <c r="T15" s="42" t="n">
        <v>790892</v>
      </c>
      <c r="U15" s="43" t="n">
        <v>790111</v>
      </c>
      <c r="V15" s="41">
        <f>IF(OR(U15="",T15=""),"",U15/T15-1)</f>
        <v/>
      </c>
    </row>
    <row r="16" ht="23" customHeight="1">
      <c r="A16" s="11" t="inlineStr">
        <is>
          <t>dantzig42</t>
        </is>
      </c>
      <c r="B16" s="37" t="n">
        <v>42</v>
      </c>
      <c r="C16" s="13" t="inlineStr">
        <is>
          <t>全部变体超时</t>
        </is>
      </c>
      <c r="D16" s="38" t="n"/>
      <c r="E16" s="39" t="n"/>
      <c r="F16" s="40" t="n"/>
      <c r="G16" s="41" t="n"/>
      <c r="H16" s="42" t="n"/>
      <c r="I16" s="43" t="n"/>
      <c r="J16" s="41" t="n"/>
      <c r="K16" s="39" t="n"/>
      <c r="L16" s="40" t="n"/>
      <c r="M16" s="41" t="n"/>
      <c r="N16" s="42" t="n"/>
      <c r="O16" s="43" t="n"/>
      <c r="P16" s="41" t="n"/>
      <c r="Q16" s="39" t="n"/>
      <c r="R16" s="40" t="n"/>
      <c r="S16" s="41" t="n"/>
      <c r="T16" s="42" t="n"/>
      <c r="U16" s="43" t="n"/>
      <c r="V16" s="41" t="n"/>
    </row>
    <row r="17" ht="23" customHeight="1">
      <c r="A17" s="11" t="inlineStr">
        <is>
          <t>swiss42</t>
        </is>
      </c>
      <c r="B17" s="37" t="n">
        <v>42</v>
      </c>
      <c r="C17" s="13" t="inlineStr">
        <is>
          <t>全部变体超时</t>
        </is>
      </c>
      <c r="D17" s="38" t="n"/>
      <c r="E17" s="39" t="n"/>
      <c r="F17" s="40" t="n"/>
      <c r="G17" s="41" t="n"/>
      <c r="H17" s="42" t="n"/>
      <c r="I17" s="43" t="n"/>
      <c r="J17" s="41" t="n"/>
      <c r="K17" s="39" t="n"/>
      <c r="L17" s="40" t="n"/>
      <c r="M17" s="41" t="n"/>
      <c r="N17" s="42" t="n"/>
      <c r="O17" s="43" t="n"/>
      <c r="P17" s="41" t="n"/>
      <c r="Q17" s="39" t="n"/>
      <c r="R17" s="40" t="n"/>
      <c r="S17" s="41" t="n"/>
      <c r="T17" s="42" t="n"/>
      <c r="U17" s="43" t="n"/>
      <c r="V17" s="41" t="n"/>
    </row>
    <row r="18" ht="23" customHeight="1">
      <c r="A18" s="11" t="inlineStr">
        <is>
          <t>att48</t>
        </is>
      </c>
      <c r="B18" s="37" t="n">
        <v>48</v>
      </c>
      <c r="C18" s="13" t="inlineStr">
        <is>
          <t>全部变体超时</t>
        </is>
      </c>
      <c r="D18" s="38" t="n"/>
      <c r="E18" s="39" t="n"/>
      <c r="F18" s="40" t="n"/>
      <c r="G18" s="41" t="n"/>
      <c r="H18" s="42" t="n"/>
      <c r="I18" s="43" t="n"/>
      <c r="J18" s="41" t="n"/>
      <c r="K18" s="39" t="n"/>
      <c r="L18" s="40" t="n"/>
      <c r="M18" s="41" t="n"/>
      <c r="N18" s="42" t="n"/>
      <c r="O18" s="43" t="n"/>
      <c r="P18" s="41" t="n"/>
      <c r="Q18" s="39" t="n"/>
      <c r="R18" s="40" t="n"/>
      <c r="S18" s="41" t="n"/>
      <c r="T18" s="42" t="n"/>
      <c r="U18" s="43" t="n"/>
      <c r="V18" s="41" t="n"/>
    </row>
    <row r="19" ht="23" customHeight="1">
      <c r="A19" s="11" t="inlineStr">
        <is>
          <t>gr48</t>
        </is>
      </c>
      <c r="B19" s="37" t="n">
        <v>48</v>
      </c>
      <c r="C19" s="13" t="inlineStr">
        <is>
          <t>全部变体超时</t>
        </is>
      </c>
      <c r="D19" s="38" t="n"/>
      <c r="E19" s="39" t="n"/>
      <c r="F19" s="40" t="n"/>
      <c r="G19" s="41" t="n"/>
      <c r="H19" s="42" t="n"/>
      <c r="I19" s="43" t="n"/>
      <c r="J19" s="41" t="n"/>
      <c r="K19" s="39" t="n"/>
      <c r="L19" s="40" t="n"/>
      <c r="M19" s="41" t="n"/>
      <c r="N19" s="42" t="n"/>
      <c r="O19" s="43" t="n"/>
      <c r="P19" s="41" t="n"/>
      <c r="Q19" s="39" t="n"/>
      <c r="R19" s="40" t="n"/>
      <c r="S19" s="41" t="n"/>
      <c r="T19" s="42" t="n"/>
      <c r="U19" s="43" t="n"/>
      <c r="V19" s="41" t="n"/>
    </row>
    <row r="20" ht="23" customHeight="1">
      <c r="A20" s="11" t="inlineStr">
        <is>
          <t>hk48</t>
        </is>
      </c>
      <c r="B20" s="37" t="n">
        <v>48</v>
      </c>
      <c r="C20" s="13" t="inlineStr">
        <is>
          <t>全部变体超时</t>
        </is>
      </c>
      <c r="D20" s="38" t="n"/>
      <c r="E20" s="39" t="n"/>
      <c r="F20" s="40" t="n"/>
      <c r="G20" s="41" t="n"/>
      <c r="H20" s="42" t="n"/>
      <c r="I20" s="43" t="n"/>
      <c r="J20" s="41" t="n"/>
      <c r="K20" s="39" t="n"/>
      <c r="L20" s="40" t="n"/>
      <c r="M20" s="41" t="n"/>
      <c r="N20" s="42" t="n"/>
      <c r="O20" s="43" t="n"/>
      <c r="P20" s="41" t="n"/>
      <c r="Q20" s="39" t="n"/>
      <c r="R20" s="40" t="n"/>
      <c r="S20" s="41" t="n"/>
      <c r="T20" s="42" t="n"/>
      <c r="U20" s="43" t="n"/>
      <c r="V20" s="41" t="n"/>
    </row>
  </sheetData>
  <mergeCells count="9">
    <mergeCell ref="A2:V2"/>
    <mergeCell ref="B4:B5"/>
    <mergeCell ref="C4:C5"/>
    <mergeCell ref="A4:A5"/>
    <mergeCell ref="A1:V1"/>
    <mergeCell ref="D4:D5"/>
    <mergeCell ref="K4:P4"/>
    <mergeCell ref="Q4:V4"/>
    <mergeCell ref="E4:J4"/>
  </mergeCells>
  <conditionalFormatting sqref="A6:V20">
    <cfRule type="expression" priority="1" dxfId="0">
      <formula>$C6="全部变体超时"</formula>
    </cfRule>
  </conditionalFormatting>
  <conditionalFormatting sqref="G6:G20">
    <cfRule type="cellIs" priority="2" operator="lessThan" dxfId="1">
      <formula>0</formula>
    </cfRule>
    <cfRule type="cellIs" priority="3" operator="greaterThan" dxfId="2">
      <formula>0</formula>
    </cfRule>
  </conditionalFormatting>
  <conditionalFormatting sqref="J6:J20">
    <cfRule type="cellIs" priority="4" operator="lessThan" dxfId="1">
      <formula>0</formula>
    </cfRule>
    <cfRule type="cellIs" priority="5" operator="greaterThan" dxfId="2">
      <formula>0</formula>
    </cfRule>
  </conditionalFormatting>
  <conditionalFormatting sqref="M6:M20">
    <cfRule type="cellIs" priority="6" operator="lessThan" dxfId="1">
      <formula>0</formula>
    </cfRule>
    <cfRule type="cellIs" priority="7" operator="greaterThan" dxfId="2">
      <formula>0</formula>
    </cfRule>
  </conditionalFormatting>
  <conditionalFormatting sqref="P6:P20">
    <cfRule type="cellIs" priority="8" operator="lessThan" dxfId="1">
      <formula>0</formula>
    </cfRule>
    <cfRule type="cellIs" priority="9" operator="greaterThan" dxfId="2">
      <formula>0</formula>
    </cfRule>
  </conditionalFormatting>
  <conditionalFormatting sqref="S6:S20">
    <cfRule type="cellIs" priority="10" operator="lessThan" dxfId="1">
      <formula>0</formula>
    </cfRule>
    <cfRule type="cellIs" priority="11" operator="greaterThan" dxfId="2">
      <formula>0</formula>
    </cfRule>
  </conditionalFormatting>
  <conditionalFormatting sqref="V6:V20">
    <cfRule type="cellIs" priority="12" operator="lessThan" dxfId="1">
      <formula>0</formula>
    </cfRule>
    <cfRule type="cellIs" priority="13" operator="greaterThan" dxfId="2">
      <formula>0</formula>
    </cfRule>
  </conditionalFormatting>
  <pageMargins left="0.2" right="0.2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  <col width="18" customWidth="1" min="4" max="4"/>
    <col width="30" customWidth="1" min="5" max="5"/>
  </cols>
  <sheetData>
    <row r="1" ht="30" customHeight="1">
      <c r="A1" s="44" t="inlineStr">
        <is>
          <t>版本说明与计算口径</t>
        </is>
      </c>
    </row>
    <row r="3">
      <c r="A3" s="45" t="inlineStr">
        <is>
          <t>Variant</t>
        </is>
      </c>
      <c r="B3" s="45" t="inlineStr">
        <is>
          <t>Branch Strategy</t>
        </is>
      </c>
      <c r="C3" s="45" t="inlineStr">
        <is>
          <t>Edge Selection</t>
        </is>
      </c>
      <c r="D3" s="45" t="inlineStr">
        <is>
          <t>1-tree</t>
        </is>
      </c>
      <c r="E3" s="45" t="inlineStr">
        <is>
          <t>Source Branch</t>
        </is>
      </c>
    </row>
    <row r="4" ht="34" customHeight="1">
      <c r="A4" s="46" t="inlineStr">
        <is>
          <t>tsp_bb_26_07_14_deg</t>
        </is>
      </c>
      <c r="B4" s="46" t="inlineStr">
        <is>
          <t>BP (multi-child)</t>
        </is>
      </c>
      <c r="C4" s="46" t="inlineStr">
        <is>
          <t>degree-violating vertex, cheapest tree edge</t>
        </is>
      </c>
      <c r="D4" s="46" t="inlineStr">
        <is>
          <t>incremental</t>
        </is>
      </c>
      <c r="E4" s="46" t="inlineStr">
        <is>
          <t>main</t>
        </is>
      </c>
    </row>
    <row r="5" ht="34" customHeight="1">
      <c r="A5" s="46" t="inlineStr">
        <is>
          <t>tsp_bb_26_07_14_min_edge</t>
        </is>
      </c>
      <c r="B5" s="46" t="inlineStr">
        <is>
          <t>BP (multi-child)</t>
        </is>
      </c>
      <c r="C5" s="46" t="inlineStr">
        <is>
          <t>cheapest overall tree edge</t>
        </is>
      </c>
      <c r="D5" s="46" t="inlineStr">
        <is>
          <t>incremental</t>
        </is>
      </c>
      <c r="E5" s="46" t="inlineStr">
        <is>
          <t>main</t>
        </is>
      </c>
    </row>
    <row r="6" ht="34" customHeight="1">
      <c r="A6" s="46" t="inlineStr">
        <is>
          <t>tsp_bb_26_07_14_full_deg</t>
        </is>
      </c>
      <c r="B6" s="46" t="inlineStr">
        <is>
          <t>BP (multi-child)</t>
        </is>
      </c>
      <c r="C6" s="46" t="inlineStr">
        <is>
          <t>degree-violating vertex, cheapest tree edge</t>
        </is>
      </c>
      <c r="D6" s="46" t="inlineStr">
        <is>
          <t>full recompute</t>
        </is>
      </c>
      <c r="E6" s="46" t="inlineStr">
        <is>
          <t>full</t>
        </is>
      </c>
    </row>
    <row r="7" ht="34" customHeight="1">
      <c r="A7" s="46" t="inlineStr">
        <is>
          <t>tsp_bb_26_07_14_full_min_edge</t>
        </is>
      </c>
      <c r="B7" s="46" t="inlineStr">
        <is>
          <t>BP (multi-child)</t>
        </is>
      </c>
      <c r="C7" s="46" t="inlineStr">
        <is>
          <t>cheapest overall tree edge</t>
        </is>
      </c>
      <c r="D7" s="46" t="inlineStr">
        <is>
          <t>full recompute</t>
        </is>
      </c>
      <c r="E7" s="46" t="inlineStr">
        <is>
          <t>full</t>
        </is>
      </c>
    </row>
    <row r="8" ht="34" customHeight="1">
      <c r="A8" s="46" t="inlineStr">
        <is>
          <t>tsp_bb_26_07_02</t>
        </is>
      </c>
      <c r="B8" s="46" t="inlineStr">
        <is>
          <t>Smart DFS (binary)</t>
        </is>
      </c>
      <c r="C8" s="46" t="inlineStr">
        <is>
          <t>smart 3-tier (tree-first, then candidate fallback)</t>
        </is>
      </c>
      <c r="D8" s="46" t="inlineStr">
        <is>
          <t>incremental</t>
        </is>
      </c>
      <c r="E8" s="46" t="inlineStr">
        <is>
          <t>refactor/07_02-smart-dfs</t>
        </is>
      </c>
    </row>
    <row r="9" ht="34" customHeight="1">
      <c r="A9" s="47" t="inlineStr">
        <is>
          <t>tsp_bb_26_07_02_full</t>
        </is>
      </c>
      <c r="B9" s="47" t="inlineStr">
        <is>
          <t>Smart DFS (binary)</t>
        </is>
      </c>
      <c r="C9" s="47" t="inlineStr">
        <is>
          <t>smart 3-tier (tree-first, then candidate fallback)</t>
        </is>
      </c>
      <c r="D9" s="47" t="inlineStr">
        <is>
          <t>full recompute</t>
        </is>
      </c>
      <c r="E9" s="47" t="inlineStr">
        <is>
          <t>refactor/07_02-smart-dfs</t>
        </is>
      </c>
    </row>
    <row r="12">
      <c r="A12" s="48" t="inlineStr">
        <is>
          <t>口径与来源</t>
        </is>
      </c>
    </row>
    <row r="13" ht="28" customHeight="1">
      <c r="A13" s="49" t="inlineStr">
        <is>
          <t>源数据</t>
        </is>
      </c>
      <c r="B13" s="46" t="inlineStr">
        <is>
          <t>docs/strategy-comparison-results.md（仓库提交 c22cb14）</t>
        </is>
      </c>
    </row>
    <row r="14" ht="28" customHeight="1">
      <c r="A14" s="49" t="inlineStr">
        <is>
          <t>Concorde</t>
        </is>
      </c>
      <c r="B14" s="46" t="inlineStr">
        <is>
          <t>https://www.math.uwaterloo.ca/tsp/concorde.html；仅展示原始时间，不参与基准对比</t>
        </is>
      </c>
    </row>
    <row r="15" ht="28" customHeight="1">
      <c r="A15" s="49" t="inlineStr">
        <is>
          <t>基准</t>
        </is>
      </c>
      <c r="B15" s="46" t="inlineStr">
        <is>
          <t>tsp_bb_26_07_02_full</t>
        </is>
      </c>
    </row>
    <row r="16" ht="28" customHeight="1">
      <c r="A16" s="49" t="inlineStr">
        <is>
          <t>时间单位</t>
        </is>
      </c>
      <c r="B16" s="46" t="inlineStr">
        <is>
          <t>秒；源文档中的 ms、s、m 已统一换算为数值秒</t>
        </is>
      </c>
    </row>
    <row r="17" ht="28" customHeight="1">
      <c r="A17" s="49" t="inlineStr">
        <is>
          <t>分支树指标</t>
        </is>
      </c>
      <c r="B17" s="46" t="inlineStr">
        <is>
          <t>Expanded（展开节点数），作为分支树规模代理</t>
        </is>
      </c>
    </row>
    <row r="18" ht="28" customHeight="1">
      <c r="A18" s="49" t="inlineStr">
        <is>
          <t>变化率</t>
        </is>
      </c>
      <c r="B18" s="46" t="inlineStr">
        <is>
          <t>目标值 / 基准值 − 1；负值表示更快或展开节点更少</t>
        </is>
      </c>
    </row>
    <row r="19" ht="28" customHeight="1">
      <c r="A19" s="49" t="inlineStr">
        <is>
          <t>增量 vs full</t>
        </is>
      </c>
      <c r="B19" s="46" t="inlineStr">
        <is>
          <t>incremental / 对应 full − 1；覆盖 Smart DFS、BP degree、BP min_edge 三组</t>
        </is>
      </c>
    </row>
    <row r="20" ht="28" customHeight="1">
      <c r="A20" s="49" t="inlineStr">
        <is>
          <t>超时</t>
        </is>
      </c>
      <c r="B20" s="46" t="inlineStr">
        <is>
          <t>每实例 1800 秒；TIMEOUT 不写成 1800 秒实测值，相关指标留空</t>
        </is>
      </c>
    </row>
    <row r="21" ht="28" customHeight="1">
      <c r="A21" s="49" t="inlineStr">
        <is>
          <t>增量优化</t>
        </is>
      </c>
      <c r="B21" s="46" t="inlineStr">
        <is>
          <t>所有 incremental 变体已应用 O(1) edge_index_in_tree 优化</t>
        </is>
      </c>
    </row>
  </sheetData>
  <mergeCells count="11">
    <mergeCell ref="B17:E17"/>
    <mergeCell ref="A12:E12"/>
    <mergeCell ref="B18:E18"/>
    <mergeCell ref="B13:E13"/>
    <mergeCell ref="B21:E21"/>
    <mergeCell ref="B16:E16"/>
    <mergeCell ref="B15:E15"/>
    <mergeCell ref="A1:E1"/>
    <mergeCell ref="B19:E19"/>
    <mergeCell ref="B20:E20"/>
    <mergeCell ref="B14:E14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:title>TSP Solver Strategy Comparison by Instance</dc:title>
  <dc:description>Generated from docs/strategy-comparison-results.md; one instance per row, including baseline and incremental-vs-full comparisons.</dc:description>
  <dc:subject>Time and expanded-node comparison against tsp_bb_26_07_02_full</dc:subject>
  <dcterms:created xsi:type="dcterms:W3CDTF">2026-07-16T12:52:22Z</dcterms:created>
  <dcterms:modified xsi:type="dcterms:W3CDTF">2026-07-16T12:52:22Z</dcterms:modified>
</cp:coreProperties>
</file>