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逐实例对比" sheetId="2" state="visible" r:id="rId2"/>
    <sheet xmlns:r="http://schemas.openxmlformats.org/officeDocument/2006/relationships" name="运行配置" sheetId="3" state="visible" r:id="rId3"/>
  </sheets>
  <definedNames>
    <definedName name="_xlnm._FilterDatabase" localSheetId="1" hidden="1">'逐实例对比'!$A$3:$U$52</definedName>
    <definedName name="_xlnm.Print_Titles" localSheetId="1">'逐实例对比'!$1:$3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########"/>
    <numFmt numFmtId="165" formatCode="0.000000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7365D"/>
    </font>
    <font>
      <i val="1"/>
      <color rgb="00595959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95959"/>
      </patternFill>
    </fill>
    <fill>
      <patternFill patternType="solid">
        <fgColor rgb="004472C4"/>
      </patternFill>
    </fill>
    <fill>
      <patternFill patternType="solid">
        <fgColor rgb="00008C95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medium">
        <color rgb="009EADBA"/>
      </bottom>
    </border>
    <border>
      <bottom style="thin">
        <color rgb="00D9E1F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1F4E78"/>
      </font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8" customHeight="1">
      <c r="A1" s="1" t="inlineStr">
        <is>
          <t>HKMST 与 NEWHKMST 实验汇总</t>
        </is>
      </c>
    </row>
    <row r="2" ht="34" customHeight="1">
      <c r="A2" s="2" t="inlineStr">
        <is>
          <t>提升率=(基准-当前)/基准；正数表示更快或分支更少（绿色），负数表示退化（红色）。时间为完整子进程 wall time；分支数采用 tsp_bb 的 Nodes created。汇总提升率只统计双方均返回Concorde最优值的可比实例。</t>
        </is>
      </c>
    </row>
    <row r="3" ht="42" customHeight="1">
      <c r="A3" s="3" t="inlineStr">
        <is>
          <t>算法</t>
        </is>
      </c>
      <c r="B3" s="3" t="inlineStr">
        <is>
          <t>完成求解</t>
        </is>
      </c>
      <c r="C3" s="3" t="inlineStr">
        <is>
          <t>与Concorde一致</t>
        </is>
      </c>
      <c r="D3" s="3" t="inlineStr">
        <is>
          <t>超时</t>
        </is>
      </c>
      <c r="E3" s="3" t="inlineStr">
        <is>
          <t>错误</t>
        </is>
      </c>
      <c r="F3" s="3" t="inlineStr">
        <is>
          <t>错误结果</t>
        </is>
      </c>
      <c r="G3" s="3" t="inlineStr">
        <is>
          <t>总时间(s)</t>
        </is>
      </c>
      <c r="H3" s="3" t="inlineStr">
        <is>
          <t>平均时间(s)</t>
        </is>
      </c>
      <c r="I3" s="3" t="inlineStr">
        <is>
          <t>中位时间(s)</t>
        </is>
      </c>
      <c r="J3" s="3" t="inlineStr">
        <is>
          <t>总节点/分支</t>
        </is>
      </c>
      <c r="K3" s="3" t="inlineStr">
        <is>
          <t>总展开节点</t>
        </is>
      </c>
      <c r="L3" s="3" t="inlineStr">
        <is>
          <t>时间提升 vs Concorde</t>
        </is>
      </c>
      <c r="M3" s="3" t="inlineStr">
        <is>
          <t>时间提升 vs HKMST</t>
        </is>
      </c>
      <c r="N3" s="3" t="inlineStr">
        <is>
          <t>分支减少 vs HKMST</t>
        </is>
      </c>
    </row>
    <row r="4">
      <c r="A4" s="4" t="inlineStr">
        <is>
          <t>Concorde</t>
        </is>
      </c>
      <c r="B4" s="4">
        <f>COUNTIF('逐实例对比'!$D$4:$D$52,"OPTIMAL")+COUNTIF('逐实例对比'!$D$4:$D$52,"WRONG COST")+COUNTIF('逐实例对比'!$D$4:$D$52,"SOLVED (NO REF)")</f>
        <v/>
      </c>
      <c r="C4" s="4">
        <f>COUNTIF('逐实例对比'!$D$4:$D$52,"OPTIMAL")</f>
        <v/>
      </c>
      <c r="D4" s="4">
        <f>COUNTIF('逐实例对比'!$D$4:$D$52,"TIMEOUT")</f>
        <v/>
      </c>
      <c r="E4" s="4">
        <f>COUNTIF('逐实例对比'!$D$4:$D$52,"ERROR")</f>
        <v/>
      </c>
      <c r="F4" s="4">
        <f>COUNTIF('逐实例对比'!$D$4:$D$52,"WRONG COST")</f>
        <v/>
      </c>
      <c r="G4" s="5">
        <f>SUM('逐实例对比'!$F$4:$F$52)</f>
        <v/>
      </c>
      <c r="H4" s="5">
        <f>IFERROR(AVERAGE('逐实例对比'!$F$4:$F$52),"")</f>
        <v/>
      </c>
      <c r="I4" s="5">
        <f>IFERROR(MEDIAN('逐实例对比'!$F$4:$F$52),"")</f>
        <v/>
      </c>
      <c r="J4" s="6">
        <f>SUM('逐实例对比'!$G$4:$G$52)</f>
        <v/>
      </c>
      <c r="K4" s="6" t="n"/>
      <c r="L4" s="7" t="n"/>
      <c r="M4" s="7" t="n"/>
      <c r="N4" s="7" t="n"/>
    </row>
    <row r="5">
      <c r="A5" s="4" t="inlineStr">
        <is>
          <t>HKMST</t>
        </is>
      </c>
      <c r="B5" s="4">
        <f>COUNTIF('逐实例对比'!$H$4:$H$52,"OPTIMAL")+COUNTIF('逐实例对比'!$H$4:$H$52,"WRONG COST")+COUNTIF('逐实例对比'!$H$4:$H$52,"SOLVED (NO REF)")</f>
        <v/>
      </c>
      <c r="C5" s="4">
        <f>COUNTIF('逐实例对比'!$H$4:$H$52,"OPTIMAL")</f>
        <v/>
      </c>
      <c r="D5" s="4">
        <f>COUNTIF('逐实例对比'!$H$4:$H$52,"TIMEOUT")</f>
        <v/>
      </c>
      <c r="E5" s="4">
        <f>COUNTIF('逐实例对比'!$H$4:$H$52,"ERROR")</f>
        <v/>
      </c>
      <c r="F5" s="4">
        <f>COUNTIF('逐实例对比'!$H$4:$H$52,"WRONG COST")</f>
        <v/>
      </c>
      <c r="G5" s="5">
        <f>SUM('逐实例对比'!$J$4:$J$52)</f>
        <v/>
      </c>
      <c r="H5" s="5">
        <f>IFERROR(AVERAGE('逐实例对比'!$J$4:$J$52),"")</f>
        <v/>
      </c>
      <c r="I5" s="5">
        <f>IFERROR(MEDIAN('逐实例对比'!$J$4:$J$52),"")</f>
        <v/>
      </c>
      <c r="J5" s="6">
        <f>SUM('逐实例对比'!$K$4:$K$52)</f>
        <v/>
      </c>
      <c r="K5" s="6">
        <f>SUM('逐实例对比'!$L$4:$L$52)</f>
        <v/>
      </c>
      <c r="L5" s="7">
        <f>IFERROR((SUMIFS('逐实例对比'!$F$4:$F$52,'逐实例对比'!$D$4:$D$52,"OPTIMAL",'逐实例对比'!$H$4:$H$52,"OPTIMAL")-SUMIFS('逐实例对比'!$J$4:$J$52,'逐实例对比'!$D$4:$D$52,"OPTIMAL",'逐实例对比'!$H$4:$H$52,"OPTIMAL"))/SUMIFS('逐实例对比'!$F$4:$F$52,'逐实例对比'!$D$4:$D$52,"OPTIMAL",'逐实例对比'!$H$4:$H$52,"OPTIMAL"),"")</f>
        <v/>
      </c>
      <c r="M5" s="7" t="n"/>
      <c r="N5" s="7" t="n"/>
    </row>
    <row r="6">
      <c r="A6" s="4" t="inlineStr">
        <is>
          <t>NEWHKMST</t>
        </is>
      </c>
      <c r="B6" s="4">
        <f>COUNTIF('逐实例对比'!$N$4:$N$52,"OPTIMAL")+COUNTIF('逐实例对比'!$N$4:$N$52,"WRONG COST")+COUNTIF('逐实例对比'!$N$4:$N$52,"SOLVED (NO REF)")</f>
        <v/>
      </c>
      <c r="C6" s="4">
        <f>COUNTIF('逐实例对比'!$N$4:$N$52,"OPTIMAL")</f>
        <v/>
      </c>
      <c r="D6" s="4">
        <f>COUNTIF('逐实例对比'!$N$4:$N$52,"TIMEOUT")</f>
        <v/>
      </c>
      <c r="E6" s="4">
        <f>COUNTIF('逐实例对比'!$N$4:$N$52,"ERROR")</f>
        <v/>
      </c>
      <c r="F6" s="4">
        <f>COUNTIF('逐实例对比'!$N$4:$N$52,"WRONG COST")</f>
        <v/>
      </c>
      <c r="G6" s="5">
        <f>SUM('逐实例对比'!$P$4:$P$52)</f>
        <v/>
      </c>
      <c r="H6" s="5">
        <f>IFERROR(AVERAGE('逐实例对比'!$P$4:$P$52),"")</f>
        <v/>
      </c>
      <c r="I6" s="5">
        <f>IFERROR(MEDIAN('逐实例对比'!$P$4:$P$52),"")</f>
        <v/>
      </c>
      <c r="J6" s="6">
        <f>SUM('逐实例对比'!$Q$4:$Q$52)</f>
        <v/>
      </c>
      <c r="K6" s="6">
        <f>SUM('逐实例对比'!$R$4:$R$52)</f>
        <v/>
      </c>
      <c r="L6" s="7">
        <f>IFERROR((SUMIFS('逐实例对比'!$F$4:$F$52,'逐实例对比'!$D$4:$D$52,"OPTIMAL",'逐实例对比'!$N$4:$N$52,"OPTIMAL")-SUMIFS('逐实例对比'!$P$4:$P$52,'逐实例对比'!$D$4:$D$52,"OPTIMAL",'逐实例对比'!$N$4:$N$52,"OPTIMAL"))/SUMIFS('逐实例对比'!$F$4:$F$52,'逐实例对比'!$D$4:$D$52,"OPTIMAL",'逐实例对比'!$N$4:$N$52,"OPTIMAL"),"")</f>
        <v/>
      </c>
      <c r="M6" s="7">
        <f>IFERROR((SUMIFS('逐实例对比'!$J$4:$J$52,'逐实例对比'!$H$4:$H$52,"OPTIMAL",'逐实例对比'!$N$4:$N$52,"OPTIMAL")-SUMIFS('逐实例对比'!$P$4:$P$52,'逐实例对比'!$H$4:$H$52,"OPTIMAL",'逐实例对比'!$N$4:$N$52,"OPTIMAL"))/SUMIFS('逐实例对比'!$J$4:$J$52,'逐实例对比'!$H$4:$H$52,"OPTIMAL",'逐实例对比'!$N$4:$N$52,"OPTIMAL"),"")</f>
        <v/>
      </c>
      <c r="N6" s="7">
        <f>IFERROR((SUMIFS('逐实例对比'!$K$4:$K$52,'逐实例对比'!$H$4:$H$52,"OPTIMAL",'逐实例对比'!$N$4:$N$52,"OPTIMAL")-SUMIFS('逐实例对比'!$Q$4:$Q$52,'逐实例对比'!$H$4:$H$52,"OPTIMAL",'逐实例对比'!$N$4:$N$52,"OPTIMAL"))/SUMIFS('逐实例对比'!$K$4:$K$52,'逐实例对比'!$H$4:$H$52,"OPTIMAL",'逐实例对比'!$N$4:$N$52,"OPTIMAL"),"")</f>
        <v/>
      </c>
    </row>
  </sheetData>
  <mergeCells count="2">
    <mergeCell ref="A2:N2"/>
    <mergeCell ref="A1:N1"/>
  </mergeCells>
  <conditionalFormatting sqref="L4:L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4:M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4:N6">
    <cfRule type="cellIs" priority="5" operator="greaterThan" dxfId="0">
      <formula>0</formula>
    </cfRule>
    <cfRule type="cellIs" priority="6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52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2" customWidth="1" min="2" max="2"/>
    <col width="9" customWidth="1" min="3" max="3"/>
    <col width="13" customWidth="1" min="4" max="4"/>
    <col width="14" customWidth="1" min="5" max="5"/>
    <col width="15" customWidth="1" min="6" max="6"/>
    <col width="15" customWidth="1" min="7" max="7"/>
    <col width="13" customWidth="1" min="8" max="8"/>
    <col width="14" customWidth="1" min="9" max="9"/>
    <col width="15" customWidth="1" min="10" max="10"/>
    <col width="14" customWidth="1" min="11" max="11"/>
    <col width="14" customWidth="1" min="12" max="12"/>
    <col width="19" customWidth="1" min="13" max="13"/>
    <col width="13" customWidth="1" min="14" max="14"/>
    <col width="14" customWidth="1" min="15" max="15"/>
    <col width="15" customWidth="1" min="16" max="16"/>
    <col width="14" customWidth="1" min="17" max="17"/>
    <col width="14" customWidth="1" min="18" max="18"/>
    <col width="19" customWidth="1" min="19" max="19"/>
    <col width="18" customWidth="1" min="20" max="20"/>
    <col width="18" customWidth="1" min="21" max="21"/>
  </cols>
  <sheetData>
    <row r="1" ht="28" customHeight="1">
      <c r="A1" s="1" t="inlineStr">
        <is>
          <t>Concorde / HKMST / NEWHKMST 逐实例精确求解对比</t>
        </is>
      </c>
    </row>
    <row r="2" ht="24" customHeight="1">
      <c r="A2" s="8" t="inlineStr">
        <is>
          <t>实例</t>
        </is>
      </c>
      <c r="D2" s="9" t="inlineStr">
        <is>
          <t>Concorde</t>
        </is>
      </c>
      <c r="H2" s="10" t="inlineStr">
        <is>
          <t>HKMST</t>
        </is>
      </c>
      <c r="N2" s="11" t="inlineStr">
        <is>
          <t>NEWHKMST</t>
        </is>
      </c>
    </row>
    <row r="3" ht="42" customHeight="1">
      <c r="A3" s="12" t="inlineStr">
        <is>
          <t>序号</t>
        </is>
      </c>
      <c r="B3" s="12" t="inlineStr">
        <is>
          <t>实例名</t>
        </is>
      </c>
      <c r="C3" s="12" t="inlineStr">
        <is>
          <t>顶点数</t>
        </is>
      </c>
      <c r="D3" s="13" t="inlineStr">
        <is>
          <t>状态</t>
        </is>
      </c>
      <c r="E3" s="14" t="inlineStr">
        <is>
          <t>求解结果</t>
        </is>
      </c>
      <c r="F3" s="13" t="inlineStr">
        <is>
          <t>运行时间(s)</t>
        </is>
      </c>
      <c r="G3" s="13" t="inlineStr">
        <is>
          <t>B&amp;B节点数</t>
        </is>
      </c>
      <c r="H3" s="15" t="inlineStr">
        <is>
          <t>状态</t>
        </is>
      </c>
      <c r="I3" s="16" t="inlineStr">
        <is>
          <t>求解结果</t>
        </is>
      </c>
      <c r="J3" s="15" t="inlineStr">
        <is>
          <t>运行时间(s)</t>
        </is>
      </c>
      <c r="K3" s="15" t="inlineStr">
        <is>
          <t>创建节点</t>
        </is>
      </c>
      <c r="L3" s="15" t="inlineStr">
        <is>
          <t>展开节点</t>
        </is>
      </c>
      <c r="M3" s="15" t="inlineStr">
        <is>
          <t>时间提升 vs Concorde</t>
        </is>
      </c>
      <c r="N3" s="17" t="inlineStr">
        <is>
          <t>状态</t>
        </is>
      </c>
      <c r="O3" s="18" t="inlineStr">
        <is>
          <t>求解结果</t>
        </is>
      </c>
      <c r="P3" s="17" t="inlineStr">
        <is>
          <t>运行时间(s)</t>
        </is>
      </c>
      <c r="Q3" s="17" t="inlineStr">
        <is>
          <t>创建节点</t>
        </is>
      </c>
      <c r="R3" s="17" t="inlineStr">
        <is>
          <t>展开节点</t>
        </is>
      </c>
      <c r="S3" s="17" t="inlineStr">
        <is>
          <t>时间提升 vs Concorde</t>
        </is>
      </c>
      <c r="T3" s="17" t="inlineStr">
        <is>
          <t>时间提升 vs HKMST</t>
        </is>
      </c>
      <c r="U3" s="17" t="inlineStr">
        <is>
          <t>分支减少 vs HKMST</t>
        </is>
      </c>
    </row>
    <row r="4">
      <c r="A4" s="4" t="n">
        <v>1</v>
      </c>
      <c r="B4" s="19" t="inlineStr">
        <is>
          <t>data/classic/tsplib/burma14.tsp</t>
        </is>
      </c>
      <c r="C4" s="4" t="n">
        <v>14</v>
      </c>
      <c r="D4" s="4" t="inlineStr">
        <is>
          <t>OPTIMAL</t>
        </is>
      </c>
      <c r="E4" s="20" t="n">
        <v>3323</v>
      </c>
      <c r="F4" s="5" t="n">
        <v>0.02078741788864136</v>
      </c>
      <c r="G4" s="6" t="n">
        <v>1</v>
      </c>
      <c r="H4" s="4" t="inlineStr">
        <is>
          <t>OPTIMAL</t>
        </is>
      </c>
      <c r="I4" s="20" t="n">
        <v>3323</v>
      </c>
      <c r="J4" s="5" t="n">
        <v>0.006457583978772163</v>
      </c>
      <c r="K4" s="6" t="n">
        <v>1</v>
      </c>
      <c r="L4" s="6" t="n">
        <v>0</v>
      </c>
      <c r="M4" s="7">
        <f>IF(AND(D4="OPTIMAL",H4="OPTIMAL",F4&gt;0),(F4-J4)/F4,"")</f>
        <v/>
      </c>
      <c r="N4" s="4" t="inlineStr">
        <is>
          <t>OPTIMAL</t>
        </is>
      </c>
      <c r="O4" s="20" t="n">
        <v>3323</v>
      </c>
      <c r="P4" s="5" t="n">
        <v>0.005440972745418549</v>
      </c>
      <c r="Q4" s="6" t="n">
        <v>1</v>
      </c>
      <c r="R4" s="6" t="n">
        <v>0</v>
      </c>
      <c r="S4" s="7">
        <f>IF(AND(D4="OPTIMAL",N4="OPTIMAL",F4&gt;0),(F4-P4)/F4,"")</f>
        <v/>
      </c>
      <c r="T4" s="7">
        <f>IF(AND(H4="OPTIMAL",N4="OPTIMAL",J4&gt;0),(J4-P4)/J4,"")</f>
        <v/>
      </c>
      <c r="U4" s="7">
        <f>IF(AND(H4="OPTIMAL",N4="OPTIMAL",K4&gt;0),(K4-Q4)/K4,"")</f>
        <v/>
      </c>
    </row>
    <row r="5">
      <c r="A5" s="4" t="n">
        <v>2</v>
      </c>
      <c r="B5" s="19" t="inlineStr">
        <is>
          <t>data/classic/tsplib/ulysses16.tsp</t>
        </is>
      </c>
      <c r="C5" s="4" t="n">
        <v>16</v>
      </c>
      <c r="D5" s="4" t="inlineStr">
        <is>
          <t>OPTIMAL</t>
        </is>
      </c>
      <c r="E5" s="20" t="n">
        <v>6859</v>
      </c>
      <c r="F5" s="5" t="n">
        <v>0.04218477569520473</v>
      </c>
      <c r="G5" s="6" t="n">
        <v>1</v>
      </c>
      <c r="H5" s="4" t="inlineStr">
        <is>
          <t>OPTIMAL</t>
        </is>
      </c>
      <c r="I5" s="20" t="n">
        <v>6859</v>
      </c>
      <c r="J5" s="5" t="n">
        <v>0.01486094295978546</v>
      </c>
      <c r="K5" s="6" t="n">
        <v>1</v>
      </c>
      <c r="L5" s="6" t="n">
        <v>0</v>
      </c>
      <c r="M5" s="7">
        <f>IF(AND(D5="OPTIMAL",H5="OPTIMAL",F5&gt;0),(F5-J5)/F5,"")</f>
        <v/>
      </c>
      <c r="N5" s="4" t="inlineStr">
        <is>
          <t>OPTIMAL</t>
        </is>
      </c>
      <c r="O5" s="20" t="n">
        <v>6859</v>
      </c>
      <c r="P5" s="5" t="n">
        <v>0.01942435279488564</v>
      </c>
      <c r="Q5" s="6" t="n">
        <v>1</v>
      </c>
      <c r="R5" s="6" t="n">
        <v>0</v>
      </c>
      <c r="S5" s="7">
        <f>IF(AND(D5="OPTIMAL",N5="OPTIMAL",F5&gt;0),(F5-P5)/F5,"")</f>
        <v/>
      </c>
      <c r="T5" s="7">
        <f>IF(AND(H5="OPTIMAL",N5="OPTIMAL",J5&gt;0),(J5-P5)/J5,"")</f>
        <v/>
      </c>
      <c r="U5" s="7">
        <f>IF(AND(H5="OPTIMAL",N5="OPTIMAL",K5&gt;0),(K5-Q5)/K5,"")</f>
        <v/>
      </c>
    </row>
    <row r="6">
      <c r="A6" s="4" t="n">
        <v>3</v>
      </c>
      <c r="B6" s="19" t="inlineStr">
        <is>
          <t>data/classic/tsplib/gr17.tsp</t>
        </is>
      </c>
      <c r="C6" s="4" t="n">
        <v>17</v>
      </c>
      <c r="D6" s="4" t="inlineStr">
        <is>
          <t>OPTIMAL</t>
        </is>
      </c>
      <c r="E6" s="20" t="n">
        <v>2085</v>
      </c>
      <c r="F6" s="5" t="n">
        <v>0.02579384297132492</v>
      </c>
      <c r="G6" s="6" t="n">
        <v>1</v>
      </c>
      <c r="H6" s="4" t="inlineStr">
        <is>
          <t>OPTIMAL</t>
        </is>
      </c>
      <c r="I6" s="20" t="n">
        <v>2085</v>
      </c>
      <c r="J6" s="5" t="n">
        <v>0.01047348789870739</v>
      </c>
      <c r="K6" s="6" t="n">
        <v>1</v>
      </c>
      <c r="L6" s="6" t="n">
        <v>0</v>
      </c>
      <c r="M6" s="7">
        <f>IF(AND(D6="OPTIMAL",H6="OPTIMAL",F6&gt;0),(F6-J6)/F6,"")</f>
        <v/>
      </c>
      <c r="N6" s="4" t="inlineStr">
        <is>
          <t>OPTIMAL</t>
        </is>
      </c>
      <c r="O6" s="20" t="n">
        <v>2085</v>
      </c>
      <c r="P6" s="5" t="n">
        <v>0.01496020518243313</v>
      </c>
      <c r="Q6" s="6" t="n">
        <v>1</v>
      </c>
      <c r="R6" s="6" t="n">
        <v>0</v>
      </c>
      <c r="S6" s="7">
        <f>IF(AND(D6="OPTIMAL",N6="OPTIMAL",F6&gt;0),(F6-P6)/F6,"")</f>
        <v/>
      </c>
      <c r="T6" s="7">
        <f>IF(AND(H6="OPTIMAL",N6="OPTIMAL",J6&gt;0),(J6-P6)/J6,"")</f>
        <v/>
      </c>
      <c r="U6" s="7">
        <f>IF(AND(H6="OPTIMAL",N6="OPTIMAL",K6&gt;0),(K6-Q6)/K6,"")</f>
        <v/>
      </c>
    </row>
    <row r="7">
      <c r="A7" s="4" t="n">
        <v>4</v>
      </c>
      <c r="B7" s="19" t="inlineStr">
        <is>
          <t>data/classic/tsplib/gr21.tsp</t>
        </is>
      </c>
      <c r="C7" s="4" t="n">
        <v>21</v>
      </c>
      <c r="D7" s="4" t="inlineStr">
        <is>
          <t>OPTIMAL</t>
        </is>
      </c>
      <c r="E7" s="20" t="n">
        <v>2707</v>
      </c>
      <c r="F7" s="5" t="n">
        <v>0.01280180178582668</v>
      </c>
      <c r="G7" s="6" t="n">
        <v>1</v>
      </c>
      <c r="H7" s="4" t="inlineStr">
        <is>
          <t>OPTIMAL</t>
        </is>
      </c>
      <c r="I7" s="20" t="n">
        <v>2707</v>
      </c>
      <c r="J7" s="5" t="n">
        <v>0.01088180392980576</v>
      </c>
      <c r="K7" s="6" t="n">
        <v>1</v>
      </c>
      <c r="L7" s="6" t="n">
        <v>0</v>
      </c>
      <c r="M7" s="7">
        <f>IF(AND(D7="OPTIMAL",H7="OPTIMAL",F7&gt;0),(F7-J7)/F7,"")</f>
        <v/>
      </c>
      <c r="N7" s="4" t="inlineStr">
        <is>
          <t>OPTIMAL</t>
        </is>
      </c>
      <c r="O7" s="20" t="n">
        <v>2707</v>
      </c>
      <c r="P7" s="5" t="n">
        <v>0.005925603210926056</v>
      </c>
      <c r="Q7" s="6" t="n">
        <v>1</v>
      </c>
      <c r="R7" s="6" t="n">
        <v>0</v>
      </c>
      <c r="S7" s="7">
        <f>IF(AND(D7="OPTIMAL",N7="OPTIMAL",F7&gt;0),(F7-P7)/F7,"")</f>
        <v/>
      </c>
      <c r="T7" s="7">
        <f>IF(AND(H7="OPTIMAL",N7="OPTIMAL",J7&gt;0),(J7-P7)/J7,"")</f>
        <v/>
      </c>
      <c r="U7" s="7">
        <f>IF(AND(H7="OPTIMAL",N7="OPTIMAL",K7&gt;0),(K7-Q7)/K7,"")</f>
        <v/>
      </c>
    </row>
    <row r="8">
      <c r="A8" s="4" t="n">
        <v>5</v>
      </c>
      <c r="B8" s="19" t="inlineStr">
        <is>
          <t>data/classic/tsplib/gr24.tsp</t>
        </is>
      </c>
      <c r="C8" s="4" t="n">
        <v>24</v>
      </c>
      <c r="D8" s="4" t="inlineStr">
        <is>
          <t>OPTIMAL</t>
        </is>
      </c>
      <c r="E8" s="20" t="n">
        <v>1272</v>
      </c>
      <c r="F8" s="5" t="n">
        <v>0.02383328601717949</v>
      </c>
      <c r="G8" s="6" t="n">
        <v>1</v>
      </c>
      <c r="H8" s="4" t="inlineStr">
        <is>
          <t>OPTIMAL</t>
        </is>
      </c>
      <c r="I8" s="20" t="n">
        <v>1272</v>
      </c>
      <c r="J8" s="5" t="n">
        <v>0.01480157300829887</v>
      </c>
      <c r="K8" s="6" t="n">
        <v>1</v>
      </c>
      <c r="L8" s="6" t="n">
        <v>0</v>
      </c>
      <c r="M8" s="7">
        <f>IF(AND(D8="OPTIMAL",H8="OPTIMAL",F8&gt;0),(F8-J8)/F8,"")</f>
        <v/>
      </c>
      <c r="N8" s="4" t="inlineStr">
        <is>
          <t>OPTIMAL</t>
        </is>
      </c>
      <c r="O8" s="20" t="n">
        <v>1272</v>
      </c>
      <c r="P8" s="5" t="n">
        <v>0.0152005385607481</v>
      </c>
      <c r="Q8" s="6" t="n">
        <v>1</v>
      </c>
      <c r="R8" s="6" t="n">
        <v>0</v>
      </c>
      <c r="S8" s="7">
        <f>IF(AND(D8="OPTIMAL",N8="OPTIMAL",F8&gt;0),(F8-P8)/F8,"")</f>
        <v/>
      </c>
      <c r="T8" s="7">
        <f>IF(AND(H8="OPTIMAL",N8="OPTIMAL",J8&gt;0),(J8-P8)/J8,"")</f>
        <v/>
      </c>
      <c r="U8" s="7">
        <f>IF(AND(H8="OPTIMAL",N8="OPTIMAL",K8&gt;0),(K8-Q8)/K8,"")</f>
        <v/>
      </c>
    </row>
    <row r="9">
      <c r="A9" s="4" t="n">
        <v>6</v>
      </c>
      <c r="B9" s="19" t="inlineStr">
        <is>
          <t>data/classic/tsplib/fri26.tsp</t>
        </is>
      </c>
      <c r="C9" s="4" t="n">
        <v>26</v>
      </c>
      <c r="D9" s="4" t="inlineStr">
        <is>
          <t>OPTIMAL</t>
        </is>
      </c>
      <c r="E9" s="20" t="n">
        <v>937</v>
      </c>
      <c r="F9" s="5" t="n">
        <v>0.02842639572918415</v>
      </c>
      <c r="G9" s="6" t="n">
        <v>1</v>
      </c>
      <c r="H9" s="4" t="inlineStr">
        <is>
          <t>OPTIMAL</t>
        </is>
      </c>
      <c r="I9" s="20" t="n">
        <v>937</v>
      </c>
      <c r="J9" s="5" t="n">
        <v>0.009884335100650787</v>
      </c>
      <c r="K9" s="6" t="n">
        <v>1</v>
      </c>
      <c r="L9" s="6" t="n">
        <v>0</v>
      </c>
      <c r="M9" s="7">
        <f>IF(AND(D9="OPTIMAL",H9="OPTIMAL",F9&gt;0),(F9-J9)/F9,"")</f>
        <v/>
      </c>
      <c r="N9" s="4" t="inlineStr">
        <is>
          <t>OPTIMAL</t>
        </is>
      </c>
      <c r="O9" s="20" t="n">
        <v>937</v>
      </c>
      <c r="P9" s="5" t="n">
        <v>0.01232488267123699</v>
      </c>
      <c r="Q9" s="6" t="n">
        <v>1</v>
      </c>
      <c r="R9" s="6" t="n">
        <v>0</v>
      </c>
      <c r="S9" s="7">
        <f>IF(AND(D9="OPTIMAL",N9="OPTIMAL",F9&gt;0),(F9-P9)/F9,"")</f>
        <v/>
      </c>
      <c r="T9" s="7">
        <f>IF(AND(H9="OPTIMAL",N9="OPTIMAL",J9&gt;0),(J9-P9)/J9,"")</f>
        <v/>
      </c>
      <c r="U9" s="7">
        <f>IF(AND(H9="OPTIMAL",N9="OPTIMAL",K9&gt;0),(K9-Q9)/K9,"")</f>
        <v/>
      </c>
    </row>
    <row r="10">
      <c r="A10" s="4" t="n">
        <v>7</v>
      </c>
      <c r="B10" s="19" t="inlineStr">
        <is>
          <t>data/classic/tsplib/bayg29.tsp</t>
        </is>
      </c>
      <c r="C10" s="4" t="n">
        <v>29</v>
      </c>
      <c r="D10" s="4" t="inlineStr">
        <is>
          <t>OPTIMAL</t>
        </is>
      </c>
      <c r="E10" s="20" t="n">
        <v>1610</v>
      </c>
      <c r="F10" s="5" t="n">
        <v>0.02528227120637894</v>
      </c>
      <c r="G10" s="6" t="n">
        <v>1</v>
      </c>
      <c r="H10" s="4" t="inlineStr">
        <is>
          <t>OPTIMAL</t>
        </is>
      </c>
      <c r="I10" s="20" t="n">
        <v>1610</v>
      </c>
      <c r="J10" s="5" t="n">
        <v>0.02155821584165096</v>
      </c>
      <c r="K10" s="6" t="n">
        <v>3</v>
      </c>
      <c r="L10" s="6" t="n">
        <v>3</v>
      </c>
      <c r="M10" s="7">
        <f>IF(AND(D10="OPTIMAL",H10="OPTIMAL",F10&gt;0),(F10-J10)/F10,"")</f>
        <v/>
      </c>
      <c r="N10" s="4" t="inlineStr">
        <is>
          <t>OPTIMAL</t>
        </is>
      </c>
      <c r="O10" s="20" t="n">
        <v>1610</v>
      </c>
      <c r="P10" s="5" t="n">
        <v>0.01873503439128399</v>
      </c>
      <c r="Q10" s="6" t="n">
        <v>3</v>
      </c>
      <c r="R10" s="6" t="n">
        <v>3</v>
      </c>
      <c r="S10" s="7">
        <f>IF(AND(D10="OPTIMAL",N10="OPTIMAL",F10&gt;0),(F10-P10)/F10,"")</f>
        <v/>
      </c>
      <c r="T10" s="7">
        <f>IF(AND(H10="OPTIMAL",N10="OPTIMAL",J10&gt;0),(J10-P10)/J10,"")</f>
        <v/>
      </c>
      <c r="U10" s="7">
        <f>IF(AND(H10="OPTIMAL",N10="OPTIMAL",K10&gt;0),(K10-Q10)/K10,"")</f>
        <v/>
      </c>
    </row>
    <row r="11">
      <c r="A11" s="4" t="n">
        <v>8</v>
      </c>
      <c r="B11" s="19" t="inlineStr">
        <is>
          <t>data/classic/tsplib/bays29.tsp</t>
        </is>
      </c>
      <c r="C11" s="4" t="n">
        <v>29</v>
      </c>
      <c r="D11" s="4" t="inlineStr">
        <is>
          <t>OPTIMAL</t>
        </is>
      </c>
      <c r="E11" s="20" t="n">
        <v>2020</v>
      </c>
      <c r="F11" s="5" t="n">
        <v>0.0347183458507061</v>
      </c>
      <c r="G11" s="6" t="n">
        <v>1</v>
      </c>
      <c r="H11" s="4" t="inlineStr">
        <is>
          <t>OPTIMAL</t>
        </is>
      </c>
      <c r="I11" s="20" t="n">
        <v>2020</v>
      </c>
      <c r="J11" s="5" t="n">
        <v>0.01653273403644562</v>
      </c>
      <c r="K11" s="6" t="n">
        <v>15</v>
      </c>
      <c r="L11" s="6" t="n">
        <v>11</v>
      </c>
      <c r="M11" s="7">
        <f>IF(AND(D11="OPTIMAL",H11="OPTIMAL",F11&gt;0),(F11-J11)/F11,"")</f>
        <v/>
      </c>
      <c r="N11" s="4" t="inlineStr">
        <is>
          <t>OPTIMAL</t>
        </is>
      </c>
      <c r="O11" s="20" t="n">
        <v>2020</v>
      </c>
      <c r="P11" s="5" t="n">
        <v>0.02077208831906319</v>
      </c>
      <c r="Q11" s="6" t="n">
        <v>12</v>
      </c>
      <c r="R11" s="6" t="n">
        <v>7</v>
      </c>
      <c r="S11" s="7">
        <f>IF(AND(D11="OPTIMAL",N11="OPTIMAL",F11&gt;0),(F11-P11)/F11,"")</f>
        <v/>
      </c>
      <c r="T11" s="7">
        <f>IF(AND(H11="OPTIMAL",N11="OPTIMAL",J11&gt;0),(J11-P11)/J11,"")</f>
        <v/>
      </c>
      <c r="U11" s="7">
        <f>IF(AND(H11="OPTIMAL",N11="OPTIMAL",K11&gt;0),(K11-Q11)/K11,"")</f>
        <v/>
      </c>
    </row>
    <row r="12">
      <c r="A12" s="4" t="n">
        <v>9</v>
      </c>
      <c r="B12" s="19" t="inlineStr">
        <is>
          <t>data/classic/national/wi29.tsp</t>
        </is>
      </c>
      <c r="C12" s="4" t="n">
        <v>29</v>
      </c>
      <c r="D12" s="4" t="inlineStr">
        <is>
          <t>OPTIMAL</t>
        </is>
      </c>
      <c r="E12" s="20" t="n">
        <v>27603</v>
      </c>
      <c r="F12" s="5" t="n">
        <v>0.04041889868676662</v>
      </c>
      <c r="G12" s="6" t="n">
        <v>1</v>
      </c>
      <c r="H12" s="4" t="inlineStr">
        <is>
          <t>OPTIMAL</t>
        </is>
      </c>
      <c r="I12" s="20" t="n">
        <v>27603</v>
      </c>
      <c r="J12" s="5" t="n">
        <v>0.01604728773236275</v>
      </c>
      <c r="K12" s="6" t="n">
        <v>1</v>
      </c>
      <c r="L12" s="6" t="n">
        <v>0</v>
      </c>
      <c r="M12" s="7">
        <f>IF(AND(D12="OPTIMAL",H12="OPTIMAL",F12&gt;0),(F12-J12)/F12,"")</f>
        <v/>
      </c>
      <c r="N12" s="4" t="inlineStr">
        <is>
          <t>OPTIMAL</t>
        </is>
      </c>
      <c r="O12" s="20" t="n">
        <v>27603</v>
      </c>
      <c r="P12" s="5" t="n">
        <v>0.0133148655295372</v>
      </c>
      <c r="Q12" s="6" t="n">
        <v>1</v>
      </c>
      <c r="R12" s="6" t="n">
        <v>0</v>
      </c>
      <c r="S12" s="7">
        <f>IF(AND(D12="OPTIMAL",N12="OPTIMAL",F12&gt;0),(F12-P12)/F12,"")</f>
        <v/>
      </c>
      <c r="T12" s="7">
        <f>IF(AND(H12="OPTIMAL",N12="OPTIMAL",J12&gt;0),(J12-P12)/J12,"")</f>
        <v/>
      </c>
      <c r="U12" s="7">
        <f>IF(AND(H12="OPTIMAL",N12="OPTIMAL",K12&gt;0),(K12-Q12)/K12,"")</f>
        <v/>
      </c>
    </row>
    <row r="13">
      <c r="A13" s="4" t="n">
        <v>10</v>
      </c>
      <c r="B13" s="19" t="inlineStr">
        <is>
          <t>data/classic/national/dj38.tsp</t>
        </is>
      </c>
      <c r="C13" s="4" t="n">
        <v>38</v>
      </c>
      <c r="D13" s="4" t="inlineStr">
        <is>
          <t>OPTIMAL</t>
        </is>
      </c>
      <c r="E13" s="20" t="n">
        <v>6656</v>
      </c>
      <c r="F13" s="5" t="n">
        <v>0.03430891782045364</v>
      </c>
      <c r="G13" s="6" t="n">
        <v>1</v>
      </c>
      <c r="H13" s="4" t="inlineStr">
        <is>
          <t>OPTIMAL</t>
        </is>
      </c>
      <c r="I13" s="20" t="n">
        <v>6656</v>
      </c>
      <c r="J13" s="5" t="n">
        <v>0.02126489207148552</v>
      </c>
      <c r="K13" s="6" t="n">
        <v>1</v>
      </c>
      <c r="L13" s="6" t="n">
        <v>0</v>
      </c>
      <c r="M13" s="7">
        <f>IF(AND(D13="OPTIMAL",H13="OPTIMAL",F13&gt;0),(F13-J13)/F13,"")</f>
        <v/>
      </c>
      <c r="N13" s="4" t="inlineStr">
        <is>
          <t>OPTIMAL</t>
        </is>
      </c>
      <c r="O13" s="20" t="n">
        <v>6656</v>
      </c>
      <c r="P13" s="5" t="n">
        <v>0.01404593884944916</v>
      </c>
      <c r="Q13" s="6" t="n">
        <v>1</v>
      </c>
      <c r="R13" s="6" t="n">
        <v>0</v>
      </c>
      <c r="S13" s="7">
        <f>IF(AND(D13="OPTIMAL",N13="OPTIMAL",F13&gt;0),(F13-P13)/F13,"")</f>
        <v/>
      </c>
      <c r="T13" s="7">
        <f>IF(AND(H13="OPTIMAL",N13="OPTIMAL",J13&gt;0),(J13-P13)/J13,"")</f>
        <v/>
      </c>
      <c r="U13" s="7">
        <f>IF(AND(H13="OPTIMAL",N13="OPTIMAL",K13&gt;0),(K13-Q13)/K13,"")</f>
        <v/>
      </c>
    </row>
    <row r="14">
      <c r="A14" s="4" t="n">
        <v>11</v>
      </c>
      <c r="B14" s="19" t="inlineStr">
        <is>
          <t>data/classic/tsplib/dantzig42.tsp</t>
        </is>
      </c>
      <c r="C14" s="4" t="n">
        <v>42</v>
      </c>
      <c r="D14" s="4" t="inlineStr">
        <is>
          <t>OPTIMAL</t>
        </is>
      </c>
      <c r="E14" s="20" t="n">
        <v>699</v>
      </c>
      <c r="F14" s="5" t="n">
        <v>0.04380405321717262</v>
      </c>
      <c r="G14" s="6" t="n">
        <v>1</v>
      </c>
      <c r="H14" s="4" t="inlineStr">
        <is>
          <t>OPTIMAL</t>
        </is>
      </c>
      <c r="I14" s="20" t="n">
        <v>699</v>
      </c>
      <c r="J14" s="5" t="n">
        <v>0.02968808449804783</v>
      </c>
      <c r="K14" s="6" t="n">
        <v>12</v>
      </c>
      <c r="L14" s="6" t="n">
        <v>6</v>
      </c>
      <c r="M14" s="7">
        <f>IF(AND(D14="OPTIMAL",H14="OPTIMAL",F14&gt;0),(F14-J14)/F14,"")</f>
        <v/>
      </c>
      <c r="N14" s="4" t="inlineStr">
        <is>
          <t>OPTIMAL</t>
        </is>
      </c>
      <c r="O14" s="20" t="n">
        <v>699</v>
      </c>
      <c r="P14" s="5" t="n">
        <v>0.02755216509103775</v>
      </c>
      <c r="Q14" s="6" t="n">
        <v>7</v>
      </c>
      <c r="R14" s="6" t="n">
        <v>3</v>
      </c>
      <c r="S14" s="7">
        <f>IF(AND(D14="OPTIMAL",N14="OPTIMAL",F14&gt;0),(F14-P14)/F14,"")</f>
        <v/>
      </c>
      <c r="T14" s="7">
        <f>IF(AND(H14="OPTIMAL",N14="OPTIMAL",J14&gt;0),(J14-P14)/J14,"")</f>
        <v/>
      </c>
      <c r="U14" s="7">
        <f>IF(AND(H14="OPTIMAL",N14="OPTIMAL",K14&gt;0),(K14-Q14)/K14,"")</f>
        <v/>
      </c>
    </row>
    <row r="15">
      <c r="A15" s="4" t="n">
        <v>12</v>
      </c>
      <c r="B15" s="19" t="inlineStr">
        <is>
          <t>data/classic/tsplib/swiss42.tsp</t>
        </is>
      </c>
      <c r="C15" s="4" t="n">
        <v>42</v>
      </c>
      <c r="D15" s="4" t="inlineStr">
        <is>
          <t>OPTIMAL</t>
        </is>
      </c>
      <c r="E15" s="20" t="n">
        <v>1273</v>
      </c>
      <c r="F15" s="5" t="n">
        <v>0.02897194586694241</v>
      </c>
      <c r="G15" s="6" t="n">
        <v>1</v>
      </c>
      <c r="H15" s="4" t="inlineStr">
        <is>
          <t>OPTIMAL</t>
        </is>
      </c>
      <c r="I15" s="20" t="n">
        <v>1273</v>
      </c>
      <c r="J15" s="5" t="n">
        <v>0.02425223402678967</v>
      </c>
      <c r="K15" s="6" t="n">
        <v>8</v>
      </c>
      <c r="L15" s="6" t="n">
        <v>4</v>
      </c>
      <c r="M15" s="7">
        <f>IF(AND(D15="OPTIMAL",H15="OPTIMAL",F15&gt;0),(F15-J15)/F15,"")</f>
        <v/>
      </c>
      <c r="N15" s="4" t="inlineStr">
        <is>
          <t>OPTIMAL</t>
        </is>
      </c>
      <c r="O15" s="20" t="n">
        <v>1273</v>
      </c>
      <c r="P15" s="5" t="n">
        <v>0.02204374596476555</v>
      </c>
      <c r="Q15" s="6" t="n">
        <v>5</v>
      </c>
      <c r="R15" s="6" t="n">
        <v>3</v>
      </c>
      <c r="S15" s="7">
        <f>IF(AND(D15="OPTIMAL",N15="OPTIMAL",F15&gt;0),(F15-P15)/F15,"")</f>
        <v/>
      </c>
      <c r="T15" s="7">
        <f>IF(AND(H15="OPTIMAL",N15="OPTIMAL",J15&gt;0),(J15-P15)/J15,"")</f>
        <v/>
      </c>
      <c r="U15" s="7">
        <f>IF(AND(H15="OPTIMAL",N15="OPTIMAL",K15&gt;0),(K15-Q15)/K15,"")</f>
        <v/>
      </c>
    </row>
    <row r="16">
      <c r="A16" s="4" t="n">
        <v>13</v>
      </c>
      <c r="B16" s="19" t="inlineStr">
        <is>
          <t>data/classic/tsplib/att48.tsp</t>
        </is>
      </c>
      <c r="C16" s="4" t="n">
        <v>48</v>
      </c>
      <c r="D16" s="4" t="inlineStr">
        <is>
          <t>OPTIMAL</t>
        </is>
      </c>
      <c r="E16" s="20" t="n">
        <v>10628</v>
      </c>
      <c r="F16" s="5" t="n">
        <v>0.08211284503340721</v>
      </c>
      <c r="G16" s="6" t="n">
        <v>1</v>
      </c>
      <c r="H16" s="4" t="inlineStr">
        <is>
          <t>OPTIMAL</t>
        </is>
      </c>
      <c r="I16" s="20" t="n">
        <v>10628</v>
      </c>
      <c r="J16" s="5" t="n">
        <v>0.03235246986150742</v>
      </c>
      <c r="K16" s="6" t="n">
        <v>373</v>
      </c>
      <c r="L16" s="6" t="n">
        <v>281</v>
      </c>
      <c r="M16" s="7">
        <f>IF(AND(D16="OPTIMAL",H16="OPTIMAL",F16&gt;0),(F16-J16)/F16,"")</f>
        <v/>
      </c>
      <c r="N16" s="4" t="inlineStr">
        <is>
          <t>OPTIMAL</t>
        </is>
      </c>
      <c r="O16" s="20" t="n">
        <v>10628</v>
      </c>
      <c r="P16" s="5" t="n">
        <v>0.03402462601661682</v>
      </c>
      <c r="Q16" s="6" t="n">
        <v>58</v>
      </c>
      <c r="R16" s="6" t="n">
        <v>28</v>
      </c>
      <c r="S16" s="7">
        <f>IF(AND(D16="OPTIMAL",N16="OPTIMAL",F16&gt;0),(F16-P16)/F16,"")</f>
        <v/>
      </c>
      <c r="T16" s="7">
        <f>IF(AND(H16="OPTIMAL",N16="OPTIMAL",J16&gt;0),(J16-P16)/J16,"")</f>
        <v/>
      </c>
      <c r="U16" s="7">
        <f>IF(AND(H16="OPTIMAL",N16="OPTIMAL",K16&gt;0),(K16-Q16)/K16,"")</f>
        <v/>
      </c>
    </row>
    <row r="17">
      <c r="A17" s="4" t="n">
        <v>14</v>
      </c>
      <c r="B17" s="19" t="inlineStr">
        <is>
          <t>data/classic/tsplib/gr48.tsp</t>
        </is>
      </c>
      <c r="C17" s="4" t="n">
        <v>48</v>
      </c>
      <c r="D17" s="4" t="inlineStr">
        <is>
          <t>OPTIMAL</t>
        </is>
      </c>
      <c r="E17" s="20" t="n">
        <v>5046</v>
      </c>
      <c r="F17" s="5" t="n">
        <v>0.0897509902715683</v>
      </c>
      <c r="G17" s="6" t="n">
        <v>1</v>
      </c>
      <c r="H17" s="4" t="inlineStr">
        <is>
          <t>OPTIMAL</t>
        </is>
      </c>
      <c r="I17" s="20" t="n">
        <v>5046</v>
      </c>
      <c r="J17" s="5" t="n">
        <v>0.3032648898661137</v>
      </c>
      <c r="K17" s="6" t="n">
        <v>125818</v>
      </c>
      <c r="L17" s="6" t="n">
        <v>90001</v>
      </c>
      <c r="M17" s="7">
        <f>IF(AND(D17="OPTIMAL",H17="OPTIMAL",F17&gt;0),(F17-J17)/F17,"")</f>
        <v/>
      </c>
      <c r="N17" s="4" t="inlineStr">
        <is>
          <t>OPTIMAL</t>
        </is>
      </c>
      <c r="O17" s="20" t="n">
        <v>5046</v>
      </c>
      <c r="P17" s="5" t="n">
        <v>0.335839344188571</v>
      </c>
      <c r="Q17" s="6" t="n">
        <v>79114</v>
      </c>
      <c r="R17" s="6" t="n">
        <v>56703</v>
      </c>
      <c r="S17" s="7">
        <f>IF(AND(D17="OPTIMAL",N17="OPTIMAL",F17&gt;0),(F17-P17)/F17,"")</f>
        <v/>
      </c>
      <c r="T17" s="7">
        <f>IF(AND(H17="OPTIMAL",N17="OPTIMAL",J17&gt;0),(J17-P17)/J17,"")</f>
        <v/>
      </c>
      <c r="U17" s="7">
        <f>IF(AND(H17="OPTIMAL",N17="OPTIMAL",K17&gt;0),(K17-Q17)/K17,"")</f>
        <v/>
      </c>
    </row>
    <row r="18">
      <c r="A18" s="4" t="n">
        <v>15</v>
      </c>
      <c r="B18" s="19" t="inlineStr">
        <is>
          <t>data/classic/tsplib/hk48.tsp</t>
        </is>
      </c>
      <c r="C18" s="4" t="n">
        <v>48</v>
      </c>
      <c r="D18" s="4" t="inlineStr">
        <is>
          <t>OPTIMAL</t>
        </is>
      </c>
      <c r="E18" s="20" t="n">
        <v>11461</v>
      </c>
      <c r="F18" s="5" t="n">
        <v>0.03568294458091259</v>
      </c>
      <c r="G18" s="6" t="n">
        <v>1</v>
      </c>
      <c r="H18" s="4" t="inlineStr">
        <is>
          <t>OPTIMAL</t>
        </is>
      </c>
      <c r="I18" s="20" t="n">
        <v>11461</v>
      </c>
      <c r="J18" s="5" t="n">
        <v>0.02921357564628124</v>
      </c>
      <c r="K18" s="6" t="n">
        <v>44</v>
      </c>
      <c r="L18" s="6" t="n">
        <v>36</v>
      </c>
      <c r="M18" s="7">
        <f>IF(AND(D18="OPTIMAL",H18="OPTIMAL",F18&gt;0),(F18-J18)/F18,"")</f>
        <v/>
      </c>
      <c r="N18" s="4" t="inlineStr">
        <is>
          <t>OPTIMAL</t>
        </is>
      </c>
      <c r="O18" s="20" t="n">
        <v>11461</v>
      </c>
      <c r="P18" s="5" t="n">
        <v>0.02962125092744827</v>
      </c>
      <c r="Q18" s="6" t="n">
        <v>16</v>
      </c>
      <c r="R18" s="6" t="n">
        <v>7</v>
      </c>
      <c r="S18" s="7">
        <f>IF(AND(D18="OPTIMAL",N18="OPTIMAL",F18&gt;0),(F18-P18)/F18,"")</f>
        <v/>
      </c>
      <c r="T18" s="7">
        <f>IF(AND(H18="OPTIMAL",N18="OPTIMAL",J18&gt;0),(J18-P18)/J18,"")</f>
        <v/>
      </c>
      <c r="U18" s="7">
        <f>IF(AND(H18="OPTIMAL",N18="OPTIMAL",K18&gt;0),(K18-Q18)/K18,"")</f>
        <v/>
      </c>
    </row>
    <row r="19">
      <c r="A19" s="4" t="n">
        <v>16</v>
      </c>
      <c r="B19" s="19" t="inlineStr">
        <is>
          <t>data/classic/tsplib/eil51.tsp</t>
        </is>
      </c>
      <c r="C19" s="4" t="n">
        <v>51</v>
      </c>
      <c r="D19" s="4" t="inlineStr">
        <is>
          <t>OPTIMAL</t>
        </is>
      </c>
      <c r="E19" s="20" t="n">
        <v>426</v>
      </c>
      <c r="F19" s="5" t="n">
        <v>0.05266926623880863</v>
      </c>
      <c r="G19" s="6" t="n">
        <v>1</v>
      </c>
      <c r="H19" s="4" t="inlineStr">
        <is>
          <t>OPTIMAL</t>
        </is>
      </c>
      <c r="I19" s="20" t="n">
        <v>426</v>
      </c>
      <c r="J19" s="5" t="n">
        <v>0.08682109229266644</v>
      </c>
      <c r="K19" s="6" t="n">
        <v>18700</v>
      </c>
      <c r="L19" s="6" t="n">
        <v>15848</v>
      </c>
      <c r="M19" s="7">
        <f>IF(AND(D19="OPTIMAL",H19="OPTIMAL",F19&gt;0),(F19-J19)/F19,"")</f>
        <v/>
      </c>
      <c r="N19" s="4" t="inlineStr">
        <is>
          <t>OPTIMAL</t>
        </is>
      </c>
      <c r="O19" s="20" t="n">
        <v>426</v>
      </c>
      <c r="P19" s="5" t="n">
        <v>0.1106710508465767</v>
      </c>
      <c r="Q19" s="6" t="n">
        <v>615</v>
      </c>
      <c r="R19" s="6" t="n">
        <v>252</v>
      </c>
      <c r="S19" s="7">
        <f>IF(AND(D19="OPTIMAL",N19="OPTIMAL",F19&gt;0),(F19-P19)/F19,"")</f>
        <v/>
      </c>
      <c r="T19" s="7">
        <f>IF(AND(H19="OPTIMAL",N19="OPTIMAL",J19&gt;0),(J19-P19)/J19,"")</f>
        <v/>
      </c>
      <c r="U19" s="7">
        <f>IF(AND(H19="OPTIMAL",N19="OPTIMAL",K19&gt;0),(K19-Q19)/K19,"")</f>
        <v/>
      </c>
    </row>
    <row r="20">
      <c r="A20" s="4" t="n">
        <v>17</v>
      </c>
      <c r="B20" s="19" t="inlineStr">
        <is>
          <t>data/classic/tsplib/berlin52.tsp</t>
        </is>
      </c>
      <c r="C20" s="4" t="n">
        <v>52</v>
      </c>
      <c r="D20" s="4" t="inlineStr">
        <is>
          <t>OPTIMAL</t>
        </is>
      </c>
      <c r="E20" s="20" t="n">
        <v>7542</v>
      </c>
      <c r="F20" s="5" t="n">
        <v>0.0487382784485817</v>
      </c>
      <c r="G20" s="6" t="n">
        <v>1</v>
      </c>
      <c r="H20" s="4" t="inlineStr">
        <is>
          <t>OPTIMAL</t>
        </is>
      </c>
      <c r="I20" s="20" t="n">
        <v>7542</v>
      </c>
      <c r="J20" s="5" t="n">
        <v>0.01248692721128464</v>
      </c>
      <c r="K20" s="6" t="n">
        <v>1</v>
      </c>
      <c r="L20" s="6" t="n">
        <v>0</v>
      </c>
      <c r="M20" s="7">
        <f>IF(AND(D20="OPTIMAL",H20="OPTIMAL",F20&gt;0),(F20-J20)/F20,"")</f>
        <v/>
      </c>
      <c r="N20" s="4" t="inlineStr">
        <is>
          <t>OPTIMAL</t>
        </is>
      </c>
      <c r="O20" s="20" t="n">
        <v>7542</v>
      </c>
      <c r="P20" s="5" t="n">
        <v>0.01637087017297745</v>
      </c>
      <c r="Q20" s="6" t="n">
        <v>1</v>
      </c>
      <c r="R20" s="6" t="n">
        <v>0</v>
      </c>
      <c r="S20" s="7">
        <f>IF(AND(D20="OPTIMAL",N20="OPTIMAL",F20&gt;0),(F20-P20)/F20,"")</f>
        <v/>
      </c>
      <c r="T20" s="7">
        <f>IF(AND(H20="OPTIMAL",N20="OPTIMAL",J20&gt;0),(J20-P20)/J20,"")</f>
        <v/>
      </c>
      <c r="U20" s="7">
        <f>IF(AND(H20="OPTIMAL",N20="OPTIMAL",K20&gt;0),(K20-Q20)/K20,"")</f>
        <v/>
      </c>
    </row>
    <row r="21">
      <c r="A21" s="4" t="n">
        <v>18</v>
      </c>
      <c r="B21" s="19" t="inlineStr">
        <is>
          <t>data/classic/tsplib/brazil58.tsp</t>
        </is>
      </c>
      <c r="C21" s="4" t="n">
        <v>58</v>
      </c>
      <c r="D21" s="4" t="inlineStr">
        <is>
          <t>OPTIMAL</t>
        </is>
      </c>
      <c r="E21" s="20" t="n">
        <v>25395</v>
      </c>
      <c r="F21" s="5" t="n">
        <v>0.08914987370371819</v>
      </c>
      <c r="G21" s="6" t="n">
        <v>1</v>
      </c>
      <c r="H21" s="4" t="inlineStr">
        <is>
          <t>OPTIMAL</t>
        </is>
      </c>
      <c r="I21" s="20" t="n">
        <v>25395</v>
      </c>
      <c r="J21" s="5" t="n">
        <v>0.4526283424347639</v>
      </c>
      <c r="K21" s="6" t="n">
        <v>168561</v>
      </c>
      <c r="L21" s="6" t="n">
        <v>112098</v>
      </c>
      <c r="M21" s="7">
        <f>IF(AND(D21="OPTIMAL",H21="OPTIMAL",F21&gt;0),(F21-J21)/F21,"")</f>
        <v/>
      </c>
      <c r="N21" s="4" t="inlineStr">
        <is>
          <t>OPTIMAL</t>
        </is>
      </c>
      <c r="O21" s="20" t="n">
        <v>25395</v>
      </c>
      <c r="P21" s="5" t="n">
        <v>0.08225015550851822</v>
      </c>
      <c r="Q21" s="6" t="n">
        <v>336</v>
      </c>
      <c r="R21" s="6" t="n">
        <v>113</v>
      </c>
      <c r="S21" s="7">
        <f>IF(AND(D21="OPTIMAL",N21="OPTIMAL",F21&gt;0),(F21-P21)/F21,"")</f>
        <v/>
      </c>
      <c r="T21" s="7">
        <f>IF(AND(H21="OPTIMAL",N21="OPTIMAL",J21&gt;0),(J21-P21)/J21,"")</f>
        <v/>
      </c>
      <c r="U21" s="7">
        <f>IF(AND(H21="OPTIMAL",N21="OPTIMAL",K21&gt;0),(K21-Q21)/K21,"")</f>
        <v/>
      </c>
    </row>
    <row r="22">
      <c r="A22" s="4" t="n">
        <v>19</v>
      </c>
      <c r="B22" s="19" t="inlineStr">
        <is>
          <t>data/classic/tsplib/st70.tsp</t>
        </is>
      </c>
      <c r="C22" s="4" t="n">
        <v>70</v>
      </c>
      <c r="D22" s="4" t="inlineStr">
        <is>
          <t>OPTIMAL</t>
        </is>
      </c>
      <c r="E22" s="20" t="n">
        <v>675</v>
      </c>
      <c r="F22" s="5" t="n">
        <v>0.06481103599071503</v>
      </c>
      <c r="G22" s="6" t="n">
        <v>1</v>
      </c>
      <c r="H22" s="4" t="inlineStr">
        <is>
          <t>OPTIMAL</t>
        </is>
      </c>
      <c r="I22" s="20" t="n">
        <v>675</v>
      </c>
      <c r="J22" s="5" t="n">
        <v>18.78608051501215</v>
      </c>
      <c r="K22" s="6" t="n">
        <v>8607708</v>
      </c>
      <c r="L22" s="6" t="n">
        <v>5632636</v>
      </c>
      <c r="M22" s="7">
        <f>IF(AND(D22="OPTIMAL",H22="OPTIMAL",F22&gt;0),(F22-J22)/F22,"")</f>
        <v/>
      </c>
      <c r="N22" s="4" t="inlineStr">
        <is>
          <t>OPTIMAL</t>
        </is>
      </c>
      <c r="O22" s="20" t="n">
        <v>675</v>
      </c>
      <c r="P22" s="5" t="n">
        <v>1.698479317128658</v>
      </c>
      <c r="Q22" s="6" t="n">
        <v>140028</v>
      </c>
      <c r="R22" s="6" t="n">
        <v>101090</v>
      </c>
      <c r="S22" s="7">
        <f>IF(AND(D22="OPTIMAL",N22="OPTIMAL",F22&gt;0),(F22-P22)/F22,"")</f>
        <v/>
      </c>
      <c r="T22" s="7">
        <f>IF(AND(H22="OPTIMAL",N22="OPTIMAL",J22&gt;0),(J22-P22)/J22,"")</f>
        <v/>
      </c>
      <c r="U22" s="7">
        <f>IF(AND(H22="OPTIMAL",N22="OPTIMAL",K22&gt;0),(K22-Q22)/K22,"")</f>
        <v/>
      </c>
    </row>
    <row r="23">
      <c r="A23" s="4" t="n">
        <v>20</v>
      </c>
      <c r="B23" s="19" t="inlineStr">
        <is>
          <t>data/classic/tsplib/eil76.tsp</t>
        </is>
      </c>
      <c r="C23" s="4" t="n">
        <v>76</v>
      </c>
      <c r="D23" s="4" t="inlineStr">
        <is>
          <t>OPTIMAL</t>
        </is>
      </c>
      <c r="E23" s="20" t="n">
        <v>538</v>
      </c>
      <c r="F23" s="5" t="n">
        <v>0.05548851750791073</v>
      </c>
      <c r="G23" s="6" t="n">
        <v>1</v>
      </c>
      <c r="H23" s="4" t="inlineStr">
        <is>
          <t>OPTIMAL</t>
        </is>
      </c>
      <c r="I23" s="20" t="n">
        <v>538</v>
      </c>
      <c r="J23" s="5" t="n">
        <v>0.5863875020295382</v>
      </c>
      <c r="K23" s="6" t="n">
        <v>132106</v>
      </c>
      <c r="L23" s="6" t="n">
        <v>105325</v>
      </c>
      <c r="M23" s="7">
        <f>IF(AND(D23="OPTIMAL",H23="OPTIMAL",F23&gt;0),(F23-J23)/F23,"")</f>
        <v/>
      </c>
      <c r="N23" s="4" t="inlineStr">
        <is>
          <t>OPTIMAL</t>
        </is>
      </c>
      <c r="O23" s="20" t="n">
        <v>538</v>
      </c>
      <c r="P23" s="5" t="n">
        <v>0.2864961475133896</v>
      </c>
      <c r="Q23" s="6" t="n">
        <v>707</v>
      </c>
      <c r="R23" s="6" t="n">
        <v>248</v>
      </c>
      <c r="S23" s="7">
        <f>IF(AND(D23="OPTIMAL",N23="OPTIMAL",F23&gt;0),(F23-P23)/F23,"")</f>
        <v/>
      </c>
      <c r="T23" s="7">
        <f>IF(AND(H23="OPTIMAL",N23="OPTIMAL",J23&gt;0),(J23-P23)/J23,"")</f>
        <v/>
      </c>
      <c r="U23" s="7">
        <f>IF(AND(H23="OPTIMAL",N23="OPTIMAL",K23&gt;0),(K23-Q23)/K23,"")</f>
        <v/>
      </c>
    </row>
    <row r="24">
      <c r="A24" s="4" t="n">
        <v>21</v>
      </c>
      <c r="B24" s="19" t="inlineStr">
        <is>
          <t>data/classic/tsplib/pr76.tsp</t>
        </is>
      </c>
      <c r="C24" s="4" t="n">
        <v>76</v>
      </c>
      <c r="D24" s="4" t="inlineStr">
        <is>
          <t>OPTIMAL</t>
        </is>
      </c>
      <c r="E24" s="20" t="n">
        <v>108159</v>
      </c>
      <c r="F24" s="5" t="n">
        <v>0.2005256041884422</v>
      </c>
      <c r="G24" s="6" t="n">
        <v>1</v>
      </c>
      <c r="H24" s="4" t="inlineStr">
        <is>
          <t>TIMEOUT</t>
        </is>
      </c>
      <c r="I24" s="20" t="n"/>
      <c r="J24" s="5" t="n">
        <v>1800</v>
      </c>
      <c r="K24" s="6" t="n"/>
      <c r="L24" s="6" t="n"/>
      <c r="M24" s="7">
        <f>IF(AND(D24="OPTIMAL",H24="OPTIMAL",F24&gt;0),(F24-J24)/F24,"")</f>
        <v/>
      </c>
      <c r="N24" s="4" t="inlineStr">
        <is>
          <t>TIMEOUT</t>
        </is>
      </c>
      <c r="O24" s="20" t="n"/>
      <c r="P24" s="5" t="n">
        <v>1800</v>
      </c>
      <c r="Q24" s="6" t="n"/>
      <c r="R24" s="6" t="n"/>
      <c r="S24" s="7">
        <f>IF(AND(D24="OPTIMAL",N24="OPTIMAL",F24&gt;0),(F24-P24)/F24,"")</f>
        <v/>
      </c>
      <c r="T24" s="7">
        <f>IF(AND(H24="OPTIMAL",N24="OPTIMAL",J24&gt;0),(J24-P24)/J24,"")</f>
        <v/>
      </c>
      <c r="U24" s="7">
        <f>IF(AND(H24="OPTIMAL",N24="OPTIMAL",K24&gt;0),(K24-Q24)/K24,"")</f>
        <v/>
      </c>
    </row>
    <row r="25">
      <c r="A25" s="4" t="n">
        <v>22</v>
      </c>
      <c r="B25" s="19" t="inlineStr">
        <is>
          <t>data/classic/tsplib/gr96.tsp</t>
        </is>
      </c>
      <c r="C25" s="4" t="n">
        <v>96</v>
      </c>
      <c r="D25" s="4" t="inlineStr">
        <is>
          <t>OPTIMAL</t>
        </is>
      </c>
      <c r="E25" s="20" t="n">
        <v>55209</v>
      </c>
      <c r="F25" s="5" t="n">
        <v>0.2296850308775902</v>
      </c>
      <c r="G25" s="6" t="n">
        <v>1</v>
      </c>
      <c r="H25" s="4" t="inlineStr">
        <is>
          <t>OPTIMAL</t>
        </is>
      </c>
      <c r="I25" s="20" t="n">
        <v>55209</v>
      </c>
      <c r="J25" s="5" t="n">
        <v>7.917378162965178</v>
      </c>
      <c r="K25" s="6" t="n">
        <v>2490722</v>
      </c>
      <c r="L25" s="6" t="n">
        <v>1672187</v>
      </c>
      <c r="M25" s="7">
        <f>IF(AND(D25="OPTIMAL",H25="OPTIMAL",F25&gt;0),(F25-J25)/F25,"")</f>
        <v/>
      </c>
      <c r="N25" s="4" t="inlineStr">
        <is>
          <t>OPTIMAL</t>
        </is>
      </c>
      <c r="O25" s="20" t="n">
        <v>55209</v>
      </c>
      <c r="P25" s="5" t="n">
        <v>5.439117185771465</v>
      </c>
      <c r="Q25" s="6" t="n">
        <v>553254</v>
      </c>
      <c r="R25" s="6" t="n">
        <v>387439</v>
      </c>
      <c r="S25" s="7">
        <f>IF(AND(D25="OPTIMAL",N25="OPTIMAL",F25&gt;0),(F25-P25)/F25,"")</f>
        <v/>
      </c>
      <c r="T25" s="7">
        <f>IF(AND(H25="OPTIMAL",N25="OPTIMAL",J25&gt;0),(J25-P25)/J25,"")</f>
        <v/>
      </c>
      <c r="U25" s="7">
        <f>IF(AND(H25="OPTIMAL",N25="OPTIMAL",K25&gt;0),(K25-Q25)/K25,"")</f>
        <v/>
      </c>
    </row>
    <row r="26">
      <c r="A26" s="4" t="n">
        <v>23</v>
      </c>
      <c r="B26" s="19" t="inlineStr">
        <is>
          <t>data/classic/tsplib/rat99.tsp</t>
        </is>
      </c>
      <c r="C26" s="4" t="n">
        <v>99</v>
      </c>
      <c r="D26" s="4" t="inlineStr">
        <is>
          <t>OPTIMAL</t>
        </is>
      </c>
      <c r="E26" s="20" t="n">
        <v>1211</v>
      </c>
      <c r="F26" s="5" t="n">
        <v>1.122032884508371</v>
      </c>
      <c r="G26" s="6" t="n">
        <v>1</v>
      </c>
      <c r="H26" s="4" t="inlineStr">
        <is>
          <t>OPTIMAL</t>
        </is>
      </c>
      <c r="I26" s="20" t="n">
        <v>1211</v>
      </c>
      <c r="J26" s="5" t="n">
        <v>0.450074564665556</v>
      </c>
      <c r="K26" s="6" t="n">
        <v>91741</v>
      </c>
      <c r="L26" s="6" t="n">
        <v>67911</v>
      </c>
      <c r="M26" s="7">
        <f>IF(AND(D26="OPTIMAL",H26="OPTIMAL",F26&gt;0),(F26-J26)/F26,"")</f>
        <v/>
      </c>
      <c r="N26" s="4" t="inlineStr">
        <is>
          <t>OPTIMAL</t>
        </is>
      </c>
      <c r="O26" s="20" t="n">
        <v>1211</v>
      </c>
      <c r="P26" s="5" t="n">
        <v>0.6066726054996252</v>
      </c>
      <c r="Q26" s="6" t="n">
        <v>1257</v>
      </c>
      <c r="R26" s="6" t="n">
        <v>478</v>
      </c>
      <c r="S26" s="7">
        <f>IF(AND(D26="OPTIMAL",N26="OPTIMAL",F26&gt;0),(F26-P26)/F26,"")</f>
        <v/>
      </c>
      <c r="T26" s="7">
        <f>IF(AND(H26="OPTIMAL",N26="OPTIMAL",J26&gt;0),(J26-P26)/J26,"")</f>
        <v/>
      </c>
      <c r="U26" s="7">
        <f>IF(AND(H26="OPTIMAL",N26="OPTIMAL",K26&gt;0),(K26-Q26)/K26,"")</f>
        <v/>
      </c>
    </row>
    <row r="27">
      <c r="A27" s="4" t="n">
        <v>24</v>
      </c>
      <c r="B27" s="19" t="inlineStr">
        <is>
          <t>data/classic/tsplib/kroA100.tsp</t>
        </is>
      </c>
      <c r="C27" s="4" t="n">
        <v>100</v>
      </c>
      <c r="D27" s="4" t="inlineStr">
        <is>
          <t>OPTIMAL</t>
        </is>
      </c>
      <c r="E27" s="20" t="n">
        <v>21282</v>
      </c>
      <c r="F27" s="5" t="n">
        <v>0.09178654104471207</v>
      </c>
      <c r="G27" s="6" t="n">
        <v>1</v>
      </c>
      <c r="H27" s="4" t="inlineStr">
        <is>
          <t>OPTIMAL</t>
        </is>
      </c>
      <c r="I27" s="20" t="n">
        <v>21282</v>
      </c>
      <c r="J27" s="5" t="n">
        <v>810.1521495692432</v>
      </c>
      <c r="K27" s="6" t="n">
        <v>192614325</v>
      </c>
      <c r="L27" s="6" t="n">
        <v>146674028</v>
      </c>
      <c r="M27" s="7">
        <f>IF(AND(D27="OPTIMAL",H27="OPTIMAL",F27&gt;0),(F27-J27)/F27,"")</f>
        <v/>
      </c>
      <c r="N27" s="4" t="inlineStr">
        <is>
          <t>OPTIMAL</t>
        </is>
      </c>
      <c r="O27" s="20" t="n">
        <v>21282</v>
      </c>
      <c r="P27" s="5" t="n">
        <v>706.880591288209</v>
      </c>
      <c r="Q27" s="6" t="n">
        <v>172105550</v>
      </c>
      <c r="R27" s="6" t="n">
        <v>131023964</v>
      </c>
      <c r="S27" s="7">
        <f>IF(AND(D27="OPTIMAL",N27="OPTIMAL",F27&gt;0),(F27-P27)/F27,"")</f>
        <v/>
      </c>
      <c r="T27" s="7">
        <f>IF(AND(H27="OPTIMAL",N27="OPTIMAL",J27&gt;0),(J27-P27)/J27,"")</f>
        <v/>
      </c>
      <c r="U27" s="7">
        <f>IF(AND(H27="OPTIMAL",N27="OPTIMAL",K27&gt;0),(K27-Q27)/K27,"")</f>
        <v/>
      </c>
    </row>
    <row r="28">
      <c r="A28" s="4" t="n">
        <v>25</v>
      </c>
      <c r="B28" s="19" t="inlineStr">
        <is>
          <t>data/classic/tsplib/kroB100.tsp</t>
        </is>
      </c>
      <c r="C28" s="4" t="n">
        <v>100</v>
      </c>
      <c r="D28" s="4" t="inlineStr">
        <is>
          <t>OPTIMAL</t>
        </is>
      </c>
      <c r="E28" s="20" t="n">
        <v>22141</v>
      </c>
      <c r="F28" s="5" t="n">
        <v>0.1910104006528854</v>
      </c>
      <c r="G28" s="6" t="n">
        <v>1</v>
      </c>
      <c r="H28" s="4" t="inlineStr">
        <is>
          <t>TIMEOUT</t>
        </is>
      </c>
      <c r="I28" s="20" t="n"/>
      <c r="J28" s="5" t="n">
        <v>1800</v>
      </c>
      <c r="K28" s="6" t="n"/>
      <c r="L28" s="6" t="n"/>
      <c r="M28" s="7">
        <f>IF(AND(D28="OPTIMAL",H28="OPTIMAL",F28&gt;0),(F28-J28)/F28,"")</f>
        <v/>
      </c>
      <c r="N28" s="4" t="inlineStr">
        <is>
          <t>TIMEOUT</t>
        </is>
      </c>
      <c r="O28" s="20" t="n"/>
      <c r="P28" s="5" t="n">
        <v>1800</v>
      </c>
      <c r="Q28" s="6" t="n"/>
      <c r="R28" s="6" t="n"/>
      <c r="S28" s="7">
        <f>IF(AND(D28="OPTIMAL",N28="OPTIMAL",F28&gt;0),(F28-P28)/F28,"")</f>
        <v/>
      </c>
      <c r="T28" s="7">
        <f>IF(AND(H28="OPTIMAL",N28="OPTIMAL",J28&gt;0),(J28-P28)/J28,"")</f>
        <v/>
      </c>
      <c r="U28" s="7">
        <f>IF(AND(H28="OPTIMAL",N28="OPTIMAL",K28&gt;0),(K28-Q28)/K28,"")</f>
        <v/>
      </c>
    </row>
    <row r="29">
      <c r="A29" s="4" t="n">
        <v>26</v>
      </c>
      <c r="B29" s="19" t="inlineStr">
        <is>
          <t>data/classic/tsplib/kroC100.tsp</t>
        </is>
      </c>
      <c r="C29" s="4" t="n">
        <v>100</v>
      </c>
      <c r="D29" s="4" t="inlineStr">
        <is>
          <t>OPTIMAL</t>
        </is>
      </c>
      <c r="E29" s="20" t="n">
        <v>20749</v>
      </c>
      <c r="F29" s="5" t="n">
        <v>0.1149471681565046</v>
      </c>
      <c r="G29" s="6" t="n">
        <v>1</v>
      </c>
      <c r="H29" s="4" t="inlineStr">
        <is>
          <t>OPTIMAL</t>
        </is>
      </c>
      <c r="I29" s="20" t="n">
        <v>20749</v>
      </c>
      <c r="J29" s="5" t="n">
        <v>40.26341957971454</v>
      </c>
      <c r="K29" s="6" t="n">
        <v>11756617</v>
      </c>
      <c r="L29" s="6" t="n">
        <v>8463763</v>
      </c>
      <c r="M29" s="7">
        <f>IF(AND(D29="OPTIMAL",H29="OPTIMAL",F29&gt;0),(F29-J29)/F29,"")</f>
        <v/>
      </c>
      <c r="N29" s="4" t="inlineStr">
        <is>
          <t>OPTIMAL</t>
        </is>
      </c>
      <c r="O29" s="20" t="n">
        <v>20749</v>
      </c>
      <c r="P29" s="5" t="n">
        <v>33.53592937998474</v>
      </c>
      <c r="Q29" s="6" t="n">
        <v>8892308</v>
      </c>
      <c r="R29" s="6" t="n">
        <v>6305937</v>
      </c>
      <c r="S29" s="7">
        <f>IF(AND(D29="OPTIMAL",N29="OPTIMAL",F29&gt;0),(F29-P29)/F29,"")</f>
        <v/>
      </c>
      <c r="T29" s="7">
        <f>IF(AND(H29="OPTIMAL",N29="OPTIMAL",J29&gt;0),(J29-P29)/J29,"")</f>
        <v/>
      </c>
      <c r="U29" s="7">
        <f>IF(AND(H29="OPTIMAL",N29="OPTIMAL",K29&gt;0),(K29-Q29)/K29,"")</f>
        <v/>
      </c>
    </row>
    <row r="30">
      <c r="A30" s="4" t="n">
        <v>27</v>
      </c>
      <c r="B30" s="19" t="inlineStr">
        <is>
          <t>data/classic/tsplib/kroD100.tsp</t>
        </is>
      </c>
      <c r="C30" s="4" t="n">
        <v>100</v>
      </c>
      <c r="D30" s="4" t="inlineStr">
        <is>
          <t>OPTIMAL</t>
        </is>
      </c>
      <c r="E30" s="20" t="n">
        <v>21294</v>
      </c>
      <c r="F30" s="5" t="n">
        <v>0.149726364761591</v>
      </c>
      <c r="G30" s="6" t="n">
        <v>1</v>
      </c>
      <c r="H30" s="4" t="inlineStr">
        <is>
          <t>OPTIMAL</t>
        </is>
      </c>
      <c r="I30" s="20" t="n">
        <v>21294</v>
      </c>
      <c r="J30" s="5" t="n">
        <v>451.9337639529258</v>
      </c>
      <c r="K30" s="6" t="n">
        <v>129214031</v>
      </c>
      <c r="L30" s="6" t="n">
        <v>90688415</v>
      </c>
      <c r="M30" s="7">
        <f>IF(AND(D30="OPTIMAL",H30="OPTIMAL",F30&gt;0),(F30-J30)/F30,"")</f>
        <v/>
      </c>
      <c r="N30" s="4" t="inlineStr">
        <is>
          <t>OPTIMAL</t>
        </is>
      </c>
      <c r="O30" s="20" t="n">
        <v>21294</v>
      </c>
      <c r="P30" s="5" t="n">
        <v>218.5470509007573</v>
      </c>
      <c r="Q30" s="6" t="n">
        <v>63405303</v>
      </c>
      <c r="R30" s="6" t="n">
        <v>44593789</v>
      </c>
      <c r="S30" s="7">
        <f>IF(AND(D30="OPTIMAL",N30="OPTIMAL",F30&gt;0),(F30-P30)/F30,"")</f>
        <v/>
      </c>
      <c r="T30" s="7">
        <f>IF(AND(H30="OPTIMAL",N30="OPTIMAL",J30&gt;0),(J30-P30)/J30,"")</f>
        <v/>
      </c>
      <c r="U30" s="7">
        <f>IF(AND(H30="OPTIMAL",N30="OPTIMAL",K30&gt;0),(K30-Q30)/K30,"")</f>
        <v/>
      </c>
    </row>
    <row r="31">
      <c r="A31" s="4" t="n">
        <v>28</v>
      </c>
      <c r="B31" s="19" t="inlineStr">
        <is>
          <t>data/classic/tsplib/kroE100.tsp</t>
        </is>
      </c>
      <c r="C31" s="4" t="n">
        <v>100</v>
      </c>
      <c r="D31" s="4" t="inlineStr">
        <is>
          <t>OPTIMAL</t>
        </is>
      </c>
      <c r="E31" s="20" t="n">
        <v>22068</v>
      </c>
      <c r="F31" s="5" t="n">
        <v>0.2449414730072021</v>
      </c>
      <c r="G31" s="6" t="n">
        <v>1</v>
      </c>
      <c r="H31" s="4" t="inlineStr">
        <is>
          <t>TIMEOUT</t>
        </is>
      </c>
      <c r="I31" s="20" t="n"/>
      <c r="J31" s="5" t="n">
        <v>1800</v>
      </c>
      <c r="K31" s="6" t="n"/>
      <c r="L31" s="6" t="n"/>
      <c r="M31" s="7">
        <f>IF(AND(D31="OPTIMAL",H31="OPTIMAL",F31&gt;0),(F31-J31)/F31,"")</f>
        <v/>
      </c>
      <c r="N31" s="4" t="inlineStr">
        <is>
          <t>TIMEOUT</t>
        </is>
      </c>
      <c r="O31" s="20" t="n"/>
      <c r="P31" s="5" t="n">
        <v>1800</v>
      </c>
      <c r="Q31" s="6" t="n"/>
      <c r="R31" s="6" t="n"/>
      <c r="S31" s="7">
        <f>IF(AND(D31="OPTIMAL",N31="OPTIMAL",F31&gt;0),(F31-P31)/F31,"")</f>
        <v/>
      </c>
      <c r="T31" s="7">
        <f>IF(AND(H31="OPTIMAL",N31="OPTIMAL",J31&gt;0),(J31-P31)/J31,"")</f>
        <v/>
      </c>
      <c r="U31" s="7">
        <f>IF(AND(H31="OPTIMAL",N31="OPTIMAL",K31&gt;0),(K31-Q31)/K31,"")</f>
        <v/>
      </c>
    </row>
    <row r="32">
      <c r="A32" s="4" t="n">
        <v>29</v>
      </c>
      <c r="B32" s="19" t="inlineStr">
        <is>
          <t>data/classic/tsplib/rd100.tsp</t>
        </is>
      </c>
      <c r="C32" s="4" t="n">
        <v>100</v>
      </c>
      <c r="D32" s="4" t="inlineStr">
        <is>
          <t>OPTIMAL</t>
        </is>
      </c>
      <c r="E32" s="20" t="n">
        <v>7910</v>
      </c>
      <c r="F32" s="5" t="n">
        <v>0.08271601609885693</v>
      </c>
      <c r="G32" s="6" t="n">
        <v>1</v>
      </c>
      <c r="H32" s="4" t="inlineStr">
        <is>
          <t>OPTIMAL</t>
        </is>
      </c>
      <c r="I32" s="20" t="n">
        <v>7910</v>
      </c>
      <c r="J32" s="5" t="n">
        <v>2.053182786330581</v>
      </c>
      <c r="K32" s="6" t="n">
        <v>525879</v>
      </c>
      <c r="L32" s="6" t="n">
        <v>350903</v>
      </c>
      <c r="M32" s="7">
        <f>IF(AND(D32="OPTIMAL",H32="OPTIMAL",F32&gt;0),(F32-J32)/F32,"")</f>
        <v/>
      </c>
      <c r="N32" s="4" t="inlineStr">
        <is>
          <t>OPTIMAL</t>
        </is>
      </c>
      <c r="O32" s="20" t="n">
        <v>7910</v>
      </c>
      <c r="P32" s="5" t="n">
        <v>1.115622775629163</v>
      </c>
      <c r="Q32" s="6" t="n">
        <v>59691</v>
      </c>
      <c r="R32" s="6" t="n">
        <v>40713</v>
      </c>
      <c r="S32" s="7">
        <f>IF(AND(D32="OPTIMAL",N32="OPTIMAL",F32&gt;0),(F32-P32)/F32,"")</f>
        <v/>
      </c>
      <c r="T32" s="7">
        <f>IF(AND(H32="OPTIMAL",N32="OPTIMAL",J32&gt;0),(J32-P32)/J32,"")</f>
        <v/>
      </c>
      <c r="U32" s="7">
        <f>IF(AND(H32="OPTIMAL",N32="OPTIMAL",K32&gt;0),(K32-Q32)/K32,"")</f>
        <v/>
      </c>
    </row>
    <row r="33">
      <c r="A33" s="4" t="n">
        <v>30</v>
      </c>
      <c r="B33" s="19" t="inlineStr">
        <is>
          <t>data/classic/tsplib/eil101.tsp</t>
        </is>
      </c>
      <c r="C33" s="4" t="n">
        <v>101</v>
      </c>
      <c r="D33" s="4" t="inlineStr">
        <is>
          <t>OPTIMAL</t>
        </is>
      </c>
      <c r="E33" s="20" t="n">
        <v>629</v>
      </c>
      <c r="F33" s="5" t="n">
        <v>0.08875088021159172</v>
      </c>
      <c r="G33" s="6" t="n">
        <v>1</v>
      </c>
      <c r="H33" s="4" t="inlineStr">
        <is>
          <t>OPTIMAL</t>
        </is>
      </c>
      <c r="I33" s="20" t="n">
        <v>629</v>
      </c>
      <c r="J33" s="5" t="n">
        <v>12.23901659809053</v>
      </c>
      <c r="K33" s="6" t="n">
        <v>3763318</v>
      </c>
      <c r="L33" s="6" t="n">
        <v>2747059</v>
      </c>
      <c r="M33" s="7">
        <f>IF(AND(D33="OPTIMAL",H33="OPTIMAL",F33&gt;0),(F33-J33)/F33,"")</f>
        <v/>
      </c>
      <c r="N33" s="4" t="inlineStr">
        <is>
          <t>OPTIMAL</t>
        </is>
      </c>
      <c r="O33" s="20" t="n">
        <v>629</v>
      </c>
      <c r="P33" s="5" t="n">
        <v>1.065917700529099</v>
      </c>
      <c r="Q33" s="6" t="n">
        <v>1254</v>
      </c>
      <c r="R33" s="6" t="n">
        <v>421</v>
      </c>
      <c r="S33" s="7">
        <f>IF(AND(D33="OPTIMAL",N33="OPTIMAL",F33&gt;0),(F33-P33)/F33,"")</f>
        <v/>
      </c>
      <c r="T33" s="7">
        <f>IF(AND(H33="OPTIMAL",N33="OPTIMAL",J33&gt;0),(J33-P33)/J33,"")</f>
        <v/>
      </c>
      <c r="U33" s="7">
        <f>IF(AND(H33="OPTIMAL",N33="OPTIMAL",K33&gt;0),(K33-Q33)/K33,"")</f>
        <v/>
      </c>
    </row>
    <row r="34">
      <c r="A34" s="4" t="n">
        <v>31</v>
      </c>
      <c r="B34" s="19" t="inlineStr">
        <is>
          <t>data/classic/tsplib/lin105.tsp</t>
        </is>
      </c>
      <c r="C34" s="4" t="n">
        <v>105</v>
      </c>
      <c r="D34" s="4" t="inlineStr">
        <is>
          <t>OPTIMAL</t>
        </is>
      </c>
      <c r="E34" s="20" t="n">
        <v>14379</v>
      </c>
      <c r="F34" s="5" t="n">
        <v>0.08304903842508793</v>
      </c>
      <c r="G34" s="6" t="n">
        <v>1</v>
      </c>
      <c r="H34" s="4" t="inlineStr">
        <is>
          <t>OPTIMAL</t>
        </is>
      </c>
      <c r="I34" s="20" t="n">
        <v>14379</v>
      </c>
      <c r="J34" s="5" t="n">
        <v>0.171352619305253</v>
      </c>
      <c r="K34" s="6" t="n">
        <v>348</v>
      </c>
      <c r="L34" s="6" t="n">
        <v>225</v>
      </c>
      <c r="M34" s="7">
        <f>IF(AND(D34="OPTIMAL",H34="OPTIMAL",F34&gt;0),(F34-J34)/F34,"")</f>
        <v/>
      </c>
      <c r="N34" s="4" t="inlineStr">
        <is>
          <t>OPTIMAL</t>
        </is>
      </c>
      <c r="O34" s="20" t="n">
        <v>14379</v>
      </c>
      <c r="P34" s="5" t="n">
        <v>0.1879243794828653</v>
      </c>
      <c r="Q34" s="6" t="n">
        <v>74</v>
      </c>
      <c r="R34" s="6" t="n">
        <v>28</v>
      </c>
      <c r="S34" s="7">
        <f>IF(AND(D34="OPTIMAL",N34="OPTIMAL",F34&gt;0),(F34-P34)/F34,"")</f>
        <v/>
      </c>
      <c r="T34" s="7">
        <f>IF(AND(H34="OPTIMAL",N34="OPTIMAL",J34&gt;0),(J34-P34)/J34,"")</f>
        <v/>
      </c>
      <c r="U34" s="7">
        <f>IF(AND(H34="OPTIMAL",N34="OPTIMAL",K34&gt;0),(K34-Q34)/K34,"")</f>
        <v/>
      </c>
    </row>
    <row r="35">
      <c r="A35" s="4" t="n">
        <v>32</v>
      </c>
      <c r="B35" s="19" t="inlineStr">
        <is>
          <t>data/classic/tsplib/pr107.tsp</t>
        </is>
      </c>
      <c r="C35" s="4" t="n">
        <v>107</v>
      </c>
      <c r="D35" s="4" t="inlineStr">
        <is>
          <t>OPTIMAL</t>
        </is>
      </c>
      <c r="E35" s="20" t="n">
        <v>44303</v>
      </c>
      <c r="F35" s="5" t="n">
        <v>0.1422189008444548</v>
      </c>
      <c r="G35" s="6" t="n">
        <v>1</v>
      </c>
      <c r="H35" s="4" t="inlineStr">
        <is>
          <t>TIMEOUT</t>
        </is>
      </c>
      <c r="I35" s="20" t="n"/>
      <c r="J35" s="5" t="n">
        <v>1800</v>
      </c>
      <c r="K35" s="6" t="n"/>
      <c r="L35" s="6" t="n"/>
      <c r="M35" s="7">
        <f>IF(AND(D35="OPTIMAL",H35="OPTIMAL",F35&gt;0),(F35-J35)/F35,"")</f>
        <v/>
      </c>
      <c r="N35" s="4" t="inlineStr">
        <is>
          <t>TIMEOUT</t>
        </is>
      </c>
      <c r="O35" s="20" t="n"/>
      <c r="P35" s="5" t="n">
        <v>1800</v>
      </c>
      <c r="Q35" s="6" t="n"/>
      <c r="R35" s="6" t="n"/>
      <c r="S35" s="7">
        <f>IF(AND(D35="OPTIMAL",N35="OPTIMAL",F35&gt;0),(F35-P35)/F35,"")</f>
        <v/>
      </c>
      <c r="T35" s="7">
        <f>IF(AND(H35="OPTIMAL",N35="OPTIMAL",J35&gt;0),(J35-P35)/J35,"")</f>
        <v/>
      </c>
      <c r="U35" s="7">
        <f>IF(AND(H35="OPTIMAL",N35="OPTIMAL",K35&gt;0),(K35-Q35)/K35,"")</f>
        <v/>
      </c>
    </row>
    <row r="36">
      <c r="A36" s="4" t="n">
        <v>33</v>
      </c>
      <c r="B36" s="19" t="inlineStr">
        <is>
          <t>data/classic/tsplib/gr120.tsp</t>
        </is>
      </c>
      <c r="C36" s="4" t="n">
        <v>120</v>
      </c>
      <c r="D36" s="4" t="inlineStr">
        <is>
          <t>OPTIMAL</t>
        </is>
      </c>
      <c r="E36" s="20" t="n">
        <v>6942</v>
      </c>
      <c r="F36" s="5" t="n">
        <v>0.1724095977842808</v>
      </c>
      <c r="G36" s="6" t="n">
        <v>1</v>
      </c>
      <c r="H36" s="4" t="inlineStr">
        <is>
          <t>TIMEOUT</t>
        </is>
      </c>
      <c r="I36" s="20" t="n"/>
      <c r="J36" s="5" t="n">
        <v>1800</v>
      </c>
      <c r="K36" s="6" t="n"/>
      <c r="L36" s="6" t="n"/>
      <c r="M36" s="7">
        <f>IF(AND(D36="OPTIMAL",H36="OPTIMAL",F36&gt;0),(F36-J36)/F36,"")</f>
        <v/>
      </c>
      <c r="N36" s="4" t="inlineStr">
        <is>
          <t>TIMEOUT</t>
        </is>
      </c>
      <c r="O36" s="20" t="n"/>
      <c r="P36" s="5" t="n">
        <v>1800</v>
      </c>
      <c r="Q36" s="6" t="n"/>
      <c r="R36" s="6" t="n"/>
      <c r="S36" s="7">
        <f>IF(AND(D36="OPTIMAL",N36="OPTIMAL",F36&gt;0),(F36-P36)/F36,"")</f>
        <v/>
      </c>
      <c r="T36" s="7">
        <f>IF(AND(H36="OPTIMAL",N36="OPTIMAL",J36&gt;0),(J36-P36)/J36,"")</f>
        <v/>
      </c>
      <c r="U36" s="7">
        <f>IF(AND(H36="OPTIMAL",N36="OPTIMAL",K36&gt;0),(K36-Q36)/K36,"")</f>
        <v/>
      </c>
    </row>
    <row r="37">
      <c r="A37" s="4" t="n">
        <v>34</v>
      </c>
      <c r="B37" s="19" t="inlineStr">
        <is>
          <t>data/classic/tsplib/pr124.tsp</t>
        </is>
      </c>
      <c r="C37" s="4" t="n">
        <v>124</v>
      </c>
      <c r="D37" s="4" t="inlineStr">
        <is>
          <t>OPTIMAL</t>
        </is>
      </c>
      <c r="E37" s="20" t="n">
        <v>59030</v>
      </c>
      <c r="F37" s="5" t="n">
        <v>0.4473580569028854</v>
      </c>
      <c r="G37" s="6" t="n">
        <v>1</v>
      </c>
      <c r="H37" s="4" t="inlineStr">
        <is>
          <t>OPTIMAL</t>
        </is>
      </c>
      <c r="I37" s="20" t="n">
        <v>59030</v>
      </c>
      <c r="J37" s="5" t="n">
        <v>3.606760734692216</v>
      </c>
      <c r="K37" s="6" t="n">
        <v>660814</v>
      </c>
      <c r="L37" s="6" t="n">
        <v>487141</v>
      </c>
      <c r="M37" s="7">
        <f>IF(AND(D37="OPTIMAL",H37="OPTIMAL",F37&gt;0),(F37-J37)/F37,"")</f>
        <v/>
      </c>
      <c r="N37" s="4" t="inlineStr">
        <is>
          <t>OPTIMAL</t>
        </is>
      </c>
      <c r="O37" s="20" t="n">
        <v>59030</v>
      </c>
      <c r="P37" s="5" t="n">
        <v>7.457469614222646</v>
      </c>
      <c r="Q37" s="6" t="n">
        <v>395730</v>
      </c>
      <c r="R37" s="6" t="n">
        <v>296198</v>
      </c>
      <c r="S37" s="7">
        <f>IF(AND(D37="OPTIMAL",N37="OPTIMAL",F37&gt;0),(F37-P37)/F37,"")</f>
        <v/>
      </c>
      <c r="T37" s="7">
        <f>IF(AND(H37="OPTIMAL",N37="OPTIMAL",J37&gt;0),(J37-P37)/J37,"")</f>
        <v/>
      </c>
      <c r="U37" s="7">
        <f>IF(AND(H37="OPTIMAL",N37="OPTIMAL",K37&gt;0),(K37-Q37)/K37,"")</f>
        <v/>
      </c>
    </row>
    <row r="38">
      <c r="A38" s="4" t="n">
        <v>35</v>
      </c>
      <c r="B38" s="19" t="inlineStr">
        <is>
          <t>data/classic/tsplib/bier127.tsp</t>
        </is>
      </c>
      <c r="C38" s="4" t="n">
        <v>127</v>
      </c>
      <c r="D38" s="4" t="inlineStr">
        <is>
          <t>OPTIMAL</t>
        </is>
      </c>
      <c r="E38" s="20" t="n">
        <v>118282</v>
      </c>
      <c r="F38" s="5" t="n">
        <v>0.1966431643813848</v>
      </c>
      <c r="G38" s="6" t="n">
        <v>1</v>
      </c>
      <c r="H38" s="4" t="inlineStr">
        <is>
          <t>TIMEOUT</t>
        </is>
      </c>
      <c r="I38" s="20" t="n"/>
      <c r="J38" s="5" t="n">
        <v>1800</v>
      </c>
      <c r="K38" s="6" t="n"/>
      <c r="L38" s="6" t="n"/>
      <c r="M38" s="7">
        <f>IF(AND(D38="OPTIMAL",H38="OPTIMAL",F38&gt;0),(F38-J38)/F38,"")</f>
        <v/>
      </c>
      <c r="N38" s="4" t="inlineStr">
        <is>
          <t>TIMEOUT</t>
        </is>
      </c>
      <c r="O38" s="20" t="n"/>
      <c r="P38" s="5" t="n">
        <v>1800</v>
      </c>
      <c r="Q38" s="6" t="n"/>
      <c r="R38" s="6" t="n"/>
      <c r="S38" s="7">
        <f>IF(AND(D38="OPTIMAL",N38="OPTIMAL",F38&gt;0),(F38-P38)/F38,"")</f>
        <v/>
      </c>
      <c r="T38" s="7">
        <f>IF(AND(H38="OPTIMAL",N38="OPTIMAL",J38&gt;0),(J38-P38)/J38,"")</f>
        <v/>
      </c>
      <c r="U38" s="7">
        <f>IF(AND(H38="OPTIMAL",N38="OPTIMAL",K38&gt;0),(K38-Q38)/K38,"")</f>
        <v/>
      </c>
    </row>
    <row r="39">
      <c r="A39" s="4" t="n">
        <v>36</v>
      </c>
      <c r="B39" s="19" t="inlineStr">
        <is>
          <t>data/classic/tsplib/ch130.tsp</t>
        </is>
      </c>
      <c r="C39" s="4" t="n">
        <v>130</v>
      </c>
      <c r="D39" s="4" t="inlineStr">
        <is>
          <t>OPTIMAL</t>
        </is>
      </c>
      <c r="E39" s="20" t="n">
        <v>6110</v>
      </c>
      <c r="F39" s="5" t="n">
        <v>0.1935441214591265</v>
      </c>
      <c r="G39" s="6" t="n">
        <v>1</v>
      </c>
      <c r="H39" s="4" t="inlineStr">
        <is>
          <t>TIMEOUT</t>
        </is>
      </c>
      <c r="I39" s="20" t="n"/>
      <c r="J39" s="5" t="n">
        <v>1800</v>
      </c>
      <c r="K39" s="6" t="n"/>
      <c r="L39" s="6" t="n"/>
      <c r="M39" s="7">
        <f>IF(AND(D39="OPTIMAL",H39="OPTIMAL",F39&gt;0),(F39-J39)/F39,"")</f>
        <v/>
      </c>
      <c r="N39" s="4" t="inlineStr">
        <is>
          <t>TIMEOUT</t>
        </is>
      </c>
      <c r="O39" s="20" t="n"/>
      <c r="P39" s="5" t="n">
        <v>1800</v>
      </c>
      <c r="Q39" s="6" t="n"/>
      <c r="R39" s="6" t="n"/>
      <c r="S39" s="7">
        <f>IF(AND(D39="OPTIMAL",N39="OPTIMAL",F39&gt;0),(F39-P39)/F39,"")</f>
        <v/>
      </c>
      <c r="T39" s="7">
        <f>IF(AND(H39="OPTIMAL",N39="OPTIMAL",J39&gt;0),(J39-P39)/J39,"")</f>
        <v/>
      </c>
      <c r="U39" s="7">
        <f>IF(AND(H39="OPTIMAL",N39="OPTIMAL",K39&gt;0),(K39-Q39)/K39,"")</f>
        <v/>
      </c>
    </row>
    <row r="40">
      <c r="A40" s="4" t="n">
        <v>37</v>
      </c>
      <c r="B40" s="19" t="inlineStr">
        <is>
          <t>data/classic/tsplib/pr136.tsp</t>
        </is>
      </c>
      <c r="C40" s="4" t="n">
        <v>136</v>
      </c>
      <c r="D40" s="4" t="inlineStr">
        <is>
          <t>OPTIMAL</t>
        </is>
      </c>
      <c r="E40" s="20" t="n">
        <v>96772</v>
      </c>
      <c r="F40" s="5" t="n">
        <v>0.5148944295942783</v>
      </c>
      <c r="G40" s="6" t="n">
        <v>1</v>
      </c>
      <c r="H40" s="4" t="inlineStr">
        <is>
          <t>TIMEOUT</t>
        </is>
      </c>
      <c r="I40" s="20" t="n"/>
      <c r="J40" s="5" t="n">
        <v>1800</v>
      </c>
      <c r="K40" s="6" t="n"/>
      <c r="L40" s="6" t="n"/>
      <c r="M40" s="7">
        <f>IF(AND(D40="OPTIMAL",H40="OPTIMAL",F40&gt;0),(F40-J40)/F40,"")</f>
        <v/>
      </c>
      <c r="N40" s="4" t="inlineStr">
        <is>
          <t>TIMEOUT</t>
        </is>
      </c>
      <c r="O40" s="20" t="n"/>
      <c r="P40" s="5" t="n">
        <v>1800</v>
      </c>
      <c r="Q40" s="6" t="n"/>
      <c r="R40" s="6" t="n"/>
      <c r="S40" s="7">
        <f>IF(AND(D40="OPTIMAL",N40="OPTIMAL",F40&gt;0),(F40-P40)/F40,"")</f>
        <v/>
      </c>
      <c r="T40" s="7">
        <f>IF(AND(H40="OPTIMAL",N40="OPTIMAL",J40&gt;0),(J40-P40)/J40,"")</f>
        <v/>
      </c>
      <c r="U40" s="7">
        <f>IF(AND(H40="OPTIMAL",N40="OPTIMAL",K40&gt;0),(K40-Q40)/K40,"")</f>
        <v/>
      </c>
    </row>
    <row r="41">
      <c r="A41" s="4" t="n">
        <v>38</v>
      </c>
      <c r="B41" s="19" t="inlineStr">
        <is>
          <t>data/classic/tsplib/gr137.tsp</t>
        </is>
      </c>
      <c r="C41" s="4" t="n">
        <v>137</v>
      </c>
      <c r="D41" s="4" t="inlineStr">
        <is>
          <t>OPTIMAL</t>
        </is>
      </c>
      <c r="E41" s="20" t="n">
        <v>69853</v>
      </c>
      <c r="F41" s="5" t="n">
        <v>0.3357705846428871</v>
      </c>
      <c r="G41" s="6" t="n">
        <v>1</v>
      </c>
      <c r="H41" s="4" t="inlineStr">
        <is>
          <t>OPTIMAL</t>
        </is>
      </c>
      <c r="I41" s="20" t="n">
        <v>69853</v>
      </c>
      <c r="J41" s="5" t="n">
        <v>312.9906499516219</v>
      </c>
      <c r="K41" s="6" t="n">
        <v>23991715</v>
      </c>
      <c r="L41" s="6" t="n">
        <v>16170127</v>
      </c>
      <c r="M41" s="7">
        <f>IF(AND(D41="OPTIMAL",H41="OPTIMAL",F41&gt;0),(F41-J41)/F41,"")</f>
        <v/>
      </c>
      <c r="N41" s="4" t="inlineStr">
        <is>
          <t>OPTIMAL</t>
        </is>
      </c>
      <c r="O41" s="20" t="n">
        <v>69853</v>
      </c>
      <c r="P41" s="5" t="n">
        <v>319.6251124739647</v>
      </c>
      <c r="Q41" s="6" t="n">
        <v>24087201</v>
      </c>
      <c r="R41" s="6" t="n">
        <v>16259899</v>
      </c>
      <c r="S41" s="7">
        <f>IF(AND(D41="OPTIMAL",N41="OPTIMAL",F41&gt;0),(F41-P41)/F41,"")</f>
        <v/>
      </c>
      <c r="T41" s="7">
        <f>IF(AND(H41="OPTIMAL",N41="OPTIMAL",J41&gt;0),(J41-P41)/J41,"")</f>
        <v/>
      </c>
      <c r="U41" s="7">
        <f>IF(AND(H41="OPTIMAL",N41="OPTIMAL",K41&gt;0),(K41-Q41)/K41,"")</f>
        <v/>
      </c>
    </row>
    <row r="42">
      <c r="A42" s="4" t="n">
        <v>39</v>
      </c>
      <c r="B42" s="19" t="inlineStr">
        <is>
          <t>data/classic/tsplib/pr144.tsp</t>
        </is>
      </c>
      <c r="C42" s="4" t="n">
        <v>144</v>
      </c>
      <c r="D42" s="4" t="inlineStr">
        <is>
          <t>OPTIMAL</t>
        </is>
      </c>
      <c r="E42" s="20" t="n">
        <v>58537</v>
      </c>
      <c r="F42" s="5" t="n">
        <v>0.2589766811579466</v>
      </c>
      <c r="G42" s="6" t="n">
        <v>1</v>
      </c>
      <c r="H42" s="4" t="inlineStr">
        <is>
          <t>TIMEOUT</t>
        </is>
      </c>
      <c r="I42" s="20" t="n"/>
      <c r="J42" s="5" t="n">
        <v>1800</v>
      </c>
      <c r="K42" s="6" t="n"/>
      <c r="L42" s="6" t="n"/>
      <c r="M42" s="7">
        <f>IF(AND(D42="OPTIMAL",H42="OPTIMAL",F42&gt;0),(F42-J42)/F42,"")</f>
        <v/>
      </c>
      <c r="N42" s="4" t="inlineStr">
        <is>
          <t>TIMEOUT</t>
        </is>
      </c>
      <c r="O42" s="20" t="n"/>
      <c r="P42" s="5" t="n">
        <v>1800</v>
      </c>
      <c r="Q42" s="6" t="n"/>
      <c r="R42" s="6" t="n"/>
      <c r="S42" s="7">
        <f>IF(AND(D42="OPTIMAL",N42="OPTIMAL",F42&gt;0),(F42-P42)/F42,"")</f>
        <v/>
      </c>
      <c r="T42" s="7">
        <f>IF(AND(H42="OPTIMAL",N42="OPTIMAL",J42&gt;0),(J42-P42)/J42,"")</f>
        <v/>
      </c>
      <c r="U42" s="7">
        <f>IF(AND(H42="OPTIMAL",N42="OPTIMAL",K42&gt;0),(K42-Q42)/K42,"")</f>
        <v/>
      </c>
    </row>
    <row r="43">
      <c r="A43" s="4" t="n">
        <v>40</v>
      </c>
      <c r="B43" s="19" t="inlineStr">
        <is>
          <t>data/classic/tsplib/ch150.tsp</t>
        </is>
      </c>
      <c r="C43" s="4" t="n">
        <v>150</v>
      </c>
      <c r="D43" s="4" t="inlineStr">
        <is>
          <t>OPTIMAL</t>
        </is>
      </c>
      <c r="E43" s="20" t="n">
        <v>6528</v>
      </c>
      <c r="F43" s="5" t="n">
        <v>0.3379350136965513</v>
      </c>
      <c r="G43" s="6" t="n">
        <v>1</v>
      </c>
      <c r="H43" s="4" t="inlineStr">
        <is>
          <t>TIMEOUT</t>
        </is>
      </c>
      <c r="I43" s="20" t="n"/>
      <c r="J43" s="5" t="n">
        <v>1800</v>
      </c>
      <c r="K43" s="6" t="n"/>
      <c r="L43" s="6" t="n"/>
      <c r="M43" s="7">
        <f>IF(AND(D43="OPTIMAL",H43="OPTIMAL",F43&gt;0),(F43-J43)/F43,"")</f>
        <v/>
      </c>
      <c r="N43" s="4" t="inlineStr">
        <is>
          <t>TIMEOUT</t>
        </is>
      </c>
      <c r="O43" s="20" t="n"/>
      <c r="P43" s="5" t="n">
        <v>1800</v>
      </c>
      <c r="Q43" s="6" t="n"/>
      <c r="R43" s="6" t="n"/>
      <c r="S43" s="7">
        <f>IF(AND(D43="OPTIMAL",N43="OPTIMAL",F43&gt;0),(F43-P43)/F43,"")</f>
        <v/>
      </c>
      <c r="T43" s="7">
        <f>IF(AND(H43="OPTIMAL",N43="OPTIMAL",J43&gt;0),(J43-P43)/J43,"")</f>
        <v/>
      </c>
      <c r="U43" s="7">
        <f>IF(AND(H43="OPTIMAL",N43="OPTIMAL",K43&gt;0),(K43-Q43)/K43,"")</f>
        <v/>
      </c>
    </row>
    <row r="44">
      <c r="A44" s="4" t="n">
        <v>41</v>
      </c>
      <c r="B44" s="19" t="inlineStr">
        <is>
          <t>data/classic/tsplib/kroA150.tsp</t>
        </is>
      </c>
      <c r="C44" s="4" t="n">
        <v>150</v>
      </c>
      <c r="D44" s="4" t="inlineStr">
        <is>
          <t>OPTIMAL</t>
        </is>
      </c>
      <c r="E44" s="20" t="n">
        <v>26524</v>
      </c>
      <c r="F44" s="5" t="n">
        <v>0.4644831363111734</v>
      </c>
      <c r="G44" s="6" t="n">
        <v>1</v>
      </c>
      <c r="H44" s="4" t="inlineStr">
        <is>
          <t>TIMEOUT</t>
        </is>
      </c>
      <c r="I44" s="20" t="n"/>
      <c r="J44" s="5" t="n">
        <v>1800</v>
      </c>
      <c r="K44" s="6" t="n"/>
      <c r="L44" s="6" t="n"/>
      <c r="M44" s="7">
        <f>IF(AND(D44="OPTIMAL",H44="OPTIMAL",F44&gt;0),(F44-J44)/F44,"")</f>
        <v/>
      </c>
      <c r="N44" s="4" t="inlineStr">
        <is>
          <t>TIMEOUT</t>
        </is>
      </c>
      <c r="O44" s="20" t="n"/>
      <c r="P44" s="5" t="n">
        <v>1800</v>
      </c>
      <c r="Q44" s="6" t="n"/>
      <c r="R44" s="6" t="n"/>
      <c r="S44" s="7">
        <f>IF(AND(D44="OPTIMAL",N44="OPTIMAL",F44&gt;0),(F44-P44)/F44,"")</f>
        <v/>
      </c>
      <c r="T44" s="7">
        <f>IF(AND(H44="OPTIMAL",N44="OPTIMAL",J44&gt;0),(J44-P44)/J44,"")</f>
        <v/>
      </c>
      <c r="U44" s="7">
        <f>IF(AND(H44="OPTIMAL",N44="OPTIMAL",K44&gt;0),(K44-Q44)/K44,"")</f>
        <v/>
      </c>
    </row>
    <row r="45">
      <c r="A45" s="4" t="n">
        <v>42</v>
      </c>
      <c r="B45" s="19" t="inlineStr">
        <is>
          <t>data/classic/tsplib/kroB150.tsp</t>
        </is>
      </c>
      <c r="C45" s="4" t="n">
        <v>150</v>
      </c>
      <c r="D45" s="4" t="inlineStr">
        <is>
          <t>OPTIMAL</t>
        </is>
      </c>
      <c r="E45" s="20" t="n">
        <v>26130</v>
      </c>
      <c r="F45" s="5" t="n">
        <v>0.4546794332563877</v>
      </c>
      <c r="G45" s="6" t="n">
        <v>1</v>
      </c>
      <c r="H45" s="4" t="inlineStr">
        <is>
          <t>TIMEOUT</t>
        </is>
      </c>
      <c r="I45" s="20" t="n"/>
      <c r="J45" s="5" t="n">
        <v>1800</v>
      </c>
      <c r="K45" s="6" t="n"/>
      <c r="L45" s="6" t="n"/>
      <c r="M45" s="7">
        <f>IF(AND(D45="OPTIMAL",H45="OPTIMAL",F45&gt;0),(F45-J45)/F45,"")</f>
        <v/>
      </c>
      <c r="N45" s="4" t="inlineStr">
        <is>
          <t>TIMEOUT</t>
        </is>
      </c>
      <c r="O45" s="20" t="n"/>
      <c r="P45" s="5" t="n">
        <v>1800</v>
      </c>
      <c r="Q45" s="6" t="n"/>
      <c r="R45" s="6" t="n"/>
      <c r="S45" s="7">
        <f>IF(AND(D45="OPTIMAL",N45="OPTIMAL",F45&gt;0),(F45-P45)/F45,"")</f>
        <v/>
      </c>
      <c r="T45" s="7">
        <f>IF(AND(H45="OPTIMAL",N45="OPTIMAL",J45&gt;0),(J45-P45)/J45,"")</f>
        <v/>
      </c>
      <c r="U45" s="7">
        <f>IF(AND(H45="OPTIMAL",N45="OPTIMAL",K45&gt;0),(K45-Q45)/K45,"")</f>
        <v/>
      </c>
    </row>
    <row r="46">
      <c r="A46" s="4" t="n">
        <v>43</v>
      </c>
      <c r="B46" s="19" t="inlineStr">
        <is>
          <t>data/classic/tsplib/pr152.tsp</t>
        </is>
      </c>
      <c r="C46" s="4" t="n">
        <v>152</v>
      </c>
      <c r="D46" s="4" t="inlineStr">
        <is>
          <t>OPTIMAL</t>
        </is>
      </c>
      <c r="E46" s="20" t="n">
        <v>73682</v>
      </c>
      <c r="F46" s="5" t="n">
        <v>0.8697719648480415</v>
      </c>
      <c r="G46" s="6" t="n">
        <v>1</v>
      </c>
      <c r="H46" s="4" t="inlineStr">
        <is>
          <t>TIMEOUT</t>
        </is>
      </c>
      <c r="I46" s="20" t="n"/>
      <c r="J46" s="5" t="n">
        <v>1800</v>
      </c>
      <c r="K46" s="6" t="n"/>
      <c r="L46" s="6" t="n"/>
      <c r="M46" s="7">
        <f>IF(AND(D46="OPTIMAL",H46="OPTIMAL",F46&gt;0),(F46-J46)/F46,"")</f>
        <v/>
      </c>
      <c r="N46" s="4" t="inlineStr">
        <is>
          <t>TIMEOUT</t>
        </is>
      </c>
      <c r="O46" s="20" t="n"/>
      <c r="P46" s="5" t="n">
        <v>1800</v>
      </c>
      <c r="Q46" s="6" t="n"/>
      <c r="R46" s="6" t="n"/>
      <c r="S46" s="7">
        <f>IF(AND(D46="OPTIMAL",N46="OPTIMAL",F46&gt;0),(F46-P46)/F46,"")</f>
        <v/>
      </c>
      <c r="T46" s="7">
        <f>IF(AND(H46="OPTIMAL",N46="OPTIMAL",J46&gt;0),(J46-P46)/J46,"")</f>
        <v/>
      </c>
      <c r="U46" s="7">
        <f>IF(AND(H46="OPTIMAL",N46="OPTIMAL",K46&gt;0),(K46-Q46)/K46,"")</f>
        <v/>
      </c>
    </row>
    <row r="47">
      <c r="A47" s="4" t="n">
        <v>44</v>
      </c>
      <c r="B47" s="19" t="inlineStr">
        <is>
          <t>data/classic/tsplib/u159.tsp</t>
        </is>
      </c>
      <c r="C47" s="4" t="n">
        <v>159</v>
      </c>
      <c r="D47" s="4" t="inlineStr">
        <is>
          <t>OPTIMAL</t>
        </is>
      </c>
      <c r="E47" s="20" t="n">
        <v>42080</v>
      </c>
      <c r="F47" s="5" t="n">
        <v>0.1126702167093754</v>
      </c>
      <c r="G47" s="6" t="n">
        <v>1</v>
      </c>
      <c r="H47" s="4" t="inlineStr">
        <is>
          <t>TIMEOUT</t>
        </is>
      </c>
      <c r="I47" s="20" t="n"/>
      <c r="J47" s="5" t="n">
        <v>1800</v>
      </c>
      <c r="K47" s="6" t="n"/>
      <c r="L47" s="6" t="n"/>
      <c r="M47" s="7">
        <f>IF(AND(D47="OPTIMAL",H47="OPTIMAL",F47&gt;0),(F47-J47)/F47,"")</f>
        <v/>
      </c>
      <c r="N47" s="4" t="inlineStr">
        <is>
          <t>OPTIMAL</t>
        </is>
      </c>
      <c r="O47" s="20" t="n">
        <v>42080</v>
      </c>
      <c r="P47" s="5" t="n">
        <v>481.8194765318185</v>
      </c>
      <c r="Q47" s="6" t="n">
        <v>24067676</v>
      </c>
      <c r="R47" s="6" t="n">
        <v>17654159</v>
      </c>
      <c r="S47" s="7">
        <f>IF(AND(D47="OPTIMAL",N47="OPTIMAL",F47&gt;0),(F47-P47)/F47,"")</f>
        <v/>
      </c>
      <c r="T47" s="7">
        <f>IF(AND(H47="OPTIMAL",N47="OPTIMAL",J47&gt;0),(J47-P47)/J47,"")</f>
        <v/>
      </c>
      <c r="U47" s="7">
        <f>IF(AND(H47="OPTIMAL",N47="OPTIMAL",K47&gt;0),(K47-Q47)/K47,"")</f>
        <v/>
      </c>
    </row>
    <row r="48">
      <c r="A48" s="4" t="n">
        <v>45</v>
      </c>
      <c r="B48" s="19" t="inlineStr">
        <is>
          <t>data/classic/tsplib/si175.tsp</t>
        </is>
      </c>
      <c r="C48" s="4" t="n">
        <v>175</v>
      </c>
      <c r="D48" s="4" t="inlineStr">
        <is>
          <t>OPTIMAL</t>
        </is>
      </c>
      <c r="E48" s="20" t="n">
        <v>21407</v>
      </c>
      <c r="F48" s="5" t="n">
        <v>1.809979096055031</v>
      </c>
      <c r="G48" s="6" t="n">
        <v>3</v>
      </c>
      <c r="H48" s="4" t="inlineStr">
        <is>
          <t>TIMEOUT</t>
        </is>
      </c>
      <c r="I48" s="20" t="n"/>
      <c r="J48" s="5" t="n">
        <v>1800</v>
      </c>
      <c r="K48" s="6" t="n"/>
      <c r="L48" s="6" t="n"/>
      <c r="M48" s="7">
        <f>IF(AND(D48="OPTIMAL",H48="OPTIMAL",F48&gt;0),(F48-J48)/F48,"")</f>
        <v/>
      </c>
      <c r="N48" s="4" t="inlineStr">
        <is>
          <t>TIMEOUT</t>
        </is>
      </c>
      <c r="O48" s="20" t="n"/>
      <c r="P48" s="5" t="n">
        <v>1800</v>
      </c>
      <c r="Q48" s="6" t="n"/>
      <c r="R48" s="6" t="n"/>
      <c r="S48" s="7">
        <f>IF(AND(D48="OPTIMAL",N48="OPTIMAL",F48&gt;0),(F48-P48)/F48,"")</f>
        <v/>
      </c>
      <c r="T48" s="7">
        <f>IF(AND(H48="OPTIMAL",N48="OPTIMAL",J48&gt;0),(J48-P48)/J48,"")</f>
        <v/>
      </c>
      <c r="U48" s="7">
        <f>IF(AND(H48="OPTIMAL",N48="OPTIMAL",K48&gt;0),(K48-Q48)/K48,"")</f>
        <v/>
      </c>
    </row>
    <row r="49">
      <c r="A49" s="4" t="n">
        <v>46</v>
      </c>
      <c r="B49" s="19" t="inlineStr">
        <is>
          <t>data/classic/tsplib/brg180.tsp</t>
        </is>
      </c>
      <c r="C49" s="4" t="n">
        <v>180</v>
      </c>
      <c r="D49" s="4" t="inlineStr">
        <is>
          <t>OPTIMAL</t>
        </is>
      </c>
      <c r="E49" s="20" t="n">
        <v>1950</v>
      </c>
      <c r="F49" s="5" t="n">
        <v>0.1817814949899912</v>
      </c>
      <c r="G49" s="6" t="n">
        <v>1</v>
      </c>
      <c r="H49" s="4" t="inlineStr">
        <is>
          <t>TIMEOUT</t>
        </is>
      </c>
      <c r="I49" s="20" t="n"/>
      <c r="J49" s="5" t="n">
        <v>1800</v>
      </c>
      <c r="K49" s="6" t="n"/>
      <c r="L49" s="6" t="n"/>
      <c r="M49" s="7">
        <f>IF(AND(D49="OPTIMAL",H49="OPTIMAL",F49&gt;0),(F49-J49)/F49,"")</f>
        <v/>
      </c>
      <c r="N49" s="4" t="inlineStr">
        <is>
          <t>TIMEOUT</t>
        </is>
      </c>
      <c r="O49" s="20" t="n"/>
      <c r="P49" s="5" t="n">
        <v>1800</v>
      </c>
      <c r="Q49" s="6" t="n"/>
      <c r="R49" s="6" t="n"/>
      <c r="S49" s="7">
        <f>IF(AND(D49="OPTIMAL",N49="OPTIMAL",F49&gt;0),(F49-P49)/F49,"")</f>
        <v/>
      </c>
      <c r="T49" s="7">
        <f>IF(AND(H49="OPTIMAL",N49="OPTIMAL",J49&gt;0),(J49-P49)/J49,"")</f>
        <v/>
      </c>
      <c r="U49" s="7">
        <f>IF(AND(H49="OPTIMAL",N49="OPTIMAL",K49&gt;0),(K49-Q49)/K49,"")</f>
        <v/>
      </c>
    </row>
    <row r="50">
      <c r="A50" s="4" t="n">
        <v>47</v>
      </c>
      <c r="B50" s="19" t="inlineStr">
        <is>
          <t>data/classic/national/qa194.tsp</t>
        </is>
      </c>
      <c r="C50" s="4" t="n">
        <v>194</v>
      </c>
      <c r="D50" s="4" t="inlineStr">
        <is>
          <t>OPTIMAL</t>
        </is>
      </c>
      <c r="E50" s="20" t="n">
        <v>9352</v>
      </c>
      <c r="F50" s="5" t="n">
        <v>0.4754731319844723</v>
      </c>
      <c r="G50" s="6" t="n">
        <v>1</v>
      </c>
      <c r="H50" s="4" t="inlineStr">
        <is>
          <t>TIMEOUT</t>
        </is>
      </c>
      <c r="I50" s="20" t="n"/>
      <c r="J50" s="5" t="n">
        <v>1800</v>
      </c>
      <c r="K50" s="6" t="n"/>
      <c r="L50" s="6" t="n"/>
      <c r="M50" s="7">
        <f>IF(AND(D50="OPTIMAL",H50="OPTIMAL",F50&gt;0),(F50-J50)/F50,"")</f>
        <v/>
      </c>
      <c r="N50" s="4" t="inlineStr">
        <is>
          <t>TIMEOUT</t>
        </is>
      </c>
      <c r="O50" s="20" t="n"/>
      <c r="P50" s="5" t="n">
        <v>1800</v>
      </c>
      <c r="Q50" s="6" t="n"/>
      <c r="R50" s="6" t="n"/>
      <c r="S50" s="7">
        <f>IF(AND(D50="OPTIMAL",N50="OPTIMAL",F50&gt;0),(F50-P50)/F50,"")</f>
        <v/>
      </c>
      <c r="T50" s="7">
        <f>IF(AND(H50="OPTIMAL",N50="OPTIMAL",J50&gt;0),(J50-P50)/J50,"")</f>
        <v/>
      </c>
      <c r="U50" s="7">
        <f>IF(AND(H50="OPTIMAL",N50="OPTIMAL",K50&gt;0),(K50-Q50)/K50,"")</f>
        <v/>
      </c>
    </row>
    <row r="51">
      <c r="A51" s="4" t="n">
        <v>48</v>
      </c>
      <c r="B51" s="19" t="inlineStr">
        <is>
          <t>data/classic/tsplib/rat195.tsp</t>
        </is>
      </c>
      <c r="C51" s="4" t="n">
        <v>195</v>
      </c>
      <c r="D51" s="4" t="inlineStr">
        <is>
          <t>OPTIMAL</t>
        </is>
      </c>
      <c r="E51" s="20" t="n">
        <v>2323</v>
      </c>
      <c r="F51" s="5" t="n">
        <v>2.880176458507776</v>
      </c>
      <c r="G51" s="6" t="n">
        <v>3</v>
      </c>
      <c r="H51" s="4" t="inlineStr">
        <is>
          <t>TIMEOUT</t>
        </is>
      </c>
      <c r="I51" s="20" t="n"/>
      <c r="J51" s="5" t="n">
        <v>1800</v>
      </c>
      <c r="K51" s="6" t="n"/>
      <c r="L51" s="6" t="n"/>
      <c r="M51" s="7">
        <f>IF(AND(D51="OPTIMAL",H51="OPTIMAL",F51&gt;0),(F51-J51)/F51,"")</f>
        <v/>
      </c>
      <c r="N51" s="4" t="inlineStr">
        <is>
          <t>TIMEOUT</t>
        </is>
      </c>
      <c r="O51" s="20" t="n"/>
      <c r="P51" s="5" t="n">
        <v>1800</v>
      </c>
      <c r="Q51" s="6" t="n"/>
      <c r="R51" s="6" t="n"/>
      <c r="S51" s="7">
        <f>IF(AND(D51="OPTIMAL",N51="OPTIMAL",F51&gt;0),(F51-P51)/F51,"")</f>
        <v/>
      </c>
      <c r="T51" s="7">
        <f>IF(AND(H51="OPTIMAL",N51="OPTIMAL",J51&gt;0),(J51-P51)/J51,"")</f>
        <v/>
      </c>
      <c r="U51" s="7">
        <f>IF(AND(H51="OPTIMAL",N51="OPTIMAL",K51&gt;0),(K51-Q51)/K51,"")</f>
        <v/>
      </c>
    </row>
    <row r="52">
      <c r="A52" s="4" t="n">
        <v>49</v>
      </c>
      <c r="B52" s="19" t="inlineStr">
        <is>
          <t>data/classic/tsplib/d198.tsp</t>
        </is>
      </c>
      <c r="C52" s="4" t="n">
        <v>198</v>
      </c>
      <c r="D52" s="4" t="inlineStr">
        <is>
          <t>OPTIMAL</t>
        </is>
      </c>
      <c r="E52" s="20" t="n">
        <v>15780</v>
      </c>
      <c r="F52" s="5" t="n">
        <v>0.9626532699912786</v>
      </c>
      <c r="G52" s="6" t="n">
        <v>3</v>
      </c>
      <c r="H52" s="4" t="inlineStr">
        <is>
          <t>TIMEOUT</t>
        </is>
      </c>
      <c r="I52" s="20" t="n"/>
      <c r="J52" s="5" t="n">
        <v>1800</v>
      </c>
      <c r="K52" s="6" t="n"/>
      <c r="L52" s="6" t="n"/>
      <c r="M52" s="7">
        <f>IF(AND(D52="OPTIMAL",H52="OPTIMAL",F52&gt;0),(F52-J52)/F52,"")</f>
        <v/>
      </c>
      <c r="N52" s="4" t="inlineStr">
        <is>
          <t>TIMEOUT</t>
        </is>
      </c>
      <c r="O52" s="20" t="n"/>
      <c r="P52" s="5" t="n">
        <v>1800</v>
      </c>
      <c r="Q52" s="6" t="n"/>
      <c r="R52" s="6" t="n"/>
      <c r="S52" s="7">
        <f>IF(AND(D52="OPTIMAL",N52="OPTIMAL",F52&gt;0),(F52-P52)/F52,"")</f>
        <v/>
      </c>
      <c r="T52" s="7">
        <f>IF(AND(H52="OPTIMAL",N52="OPTIMAL",J52&gt;0),(J52-P52)/J52,"")</f>
        <v/>
      </c>
      <c r="U52" s="7">
        <f>IF(AND(H52="OPTIMAL",N52="OPTIMAL",K52&gt;0),(K52-Q52)/K52,"")</f>
        <v/>
      </c>
    </row>
  </sheetData>
  <autoFilter ref="A3:U52"/>
  <mergeCells count="5">
    <mergeCell ref="A1:U1"/>
    <mergeCell ref="N2:U2"/>
    <mergeCell ref="D2:G2"/>
    <mergeCell ref="H2:M2"/>
    <mergeCell ref="A2:C2"/>
  </mergeCells>
  <conditionalFormatting sqref="M4:M5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S4:S5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T4:T5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U4:U5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D4:D52">
    <cfRule type="expression" priority="9" dxfId="0">
      <formula>D4="OPTIMAL"</formula>
    </cfRule>
    <cfRule type="expression" priority="10" dxfId="1">
      <formula>OR(D4="ERROR",D4="WRONG COST")</formula>
    </cfRule>
    <cfRule type="expression" priority="11" dxfId="2">
      <formula>D4="TIMEOUT"</formula>
    </cfRule>
    <cfRule type="expression" priority="12" dxfId="3">
      <formula>D4="SOLVED (NO REF)"</formula>
    </cfRule>
  </conditionalFormatting>
  <conditionalFormatting sqref="H4:H52">
    <cfRule type="expression" priority="13" dxfId="0">
      <formula>H4="OPTIMAL"</formula>
    </cfRule>
    <cfRule type="expression" priority="14" dxfId="1">
      <formula>OR(H4="ERROR",H4="WRONG COST")</formula>
    </cfRule>
    <cfRule type="expression" priority="15" dxfId="2">
      <formula>H4="TIMEOUT"</formula>
    </cfRule>
    <cfRule type="expression" priority="16" dxfId="3">
      <formula>H4="SOLVED (NO REF)"</formula>
    </cfRule>
  </conditionalFormatting>
  <conditionalFormatting sqref="N4:N52">
    <cfRule type="expression" priority="17" dxfId="0">
      <formula>N4="OPTIMAL"</formula>
    </cfRule>
    <cfRule type="expression" priority="18" dxfId="1">
      <formula>OR(N4="ERROR",N4="WRONG COST")</formula>
    </cfRule>
    <cfRule type="expression" priority="19" dxfId="2">
      <formula>N4="TIMEOUT"</formula>
    </cfRule>
    <cfRule type="expression" priority="20" dxfId="3">
      <formula>N4="SOLVED (NO REF)"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72" customWidth="1" min="3" max="3"/>
  </cols>
  <sheetData>
    <row r="1" ht="28" customHeight="1">
      <c r="A1" s="1" t="inlineStr">
        <is>
          <t>实验运行配置</t>
        </is>
      </c>
    </row>
    <row r="2">
      <c r="A2" s="21" t="inlineStr">
        <is>
          <t>项目</t>
        </is>
      </c>
      <c r="B2" s="21" t="inlineStr">
        <is>
          <t>值</t>
        </is>
      </c>
      <c r="C2" s="21" t="inlineStr">
        <is>
          <t>说明</t>
        </is>
      </c>
    </row>
    <row r="3">
      <c r="A3" s="22" t="inlineStr">
        <is>
          <t>生成时间</t>
        </is>
      </c>
      <c r="B3" s="22" t="inlineStr">
        <is>
          <t>2026-08-07T08:16:29+00:00</t>
        </is>
      </c>
      <c r="C3" s="22" t="inlineStr">
        <is>
          <t>本地时区</t>
        </is>
      </c>
    </row>
    <row r="4">
      <c r="A4" s="22" t="inlineStr">
        <is>
          <t>实例数量</t>
        </is>
      </c>
      <c r="B4" s="22" t="n">
        <v>49</v>
      </c>
      <c r="C4" s="22" t="inlineStr">
        <is>
          <t>每个实例在逐实例表中占一行</t>
        </is>
      </c>
    </row>
    <row r="5">
      <c r="A5" s="22" t="inlineStr">
        <is>
          <t>顶点限制</t>
        </is>
      </c>
      <c r="B5" s="22" t="inlineStr">
        <is>
          <t>n &lt; 200</t>
        </is>
      </c>
      <c r="C5" s="22" t="inlineStr">
        <is>
          <t>默认仅测试小于200顶点</t>
        </is>
      </c>
    </row>
    <row r="6">
      <c r="A6" s="22" t="inlineStr">
        <is>
          <t>单次超时</t>
        </is>
      </c>
      <c r="B6" s="22" t="n">
        <v>1800</v>
      </c>
      <c r="C6" s="22" t="inlineStr">
        <is>
          <t>秒/算法/实例</t>
        </is>
      </c>
    </row>
    <row r="7">
      <c r="A7" s="22" t="inlineStr">
        <is>
          <t>并行实例数</t>
        </is>
      </c>
      <c r="B7" s="22" t="n">
        <v>6</v>
      </c>
      <c r="C7" s="22" t="inlineStr">
        <is>
          <t>同一实例的三种算法仍串行</t>
        </is>
      </c>
    </row>
    <row r="8">
      <c r="A8" s="22" t="inlineStr">
        <is>
          <t>单实例运行顺序</t>
        </is>
      </c>
      <c r="B8" s="22" t="inlineStr">
        <is>
          <t>Concorde -&gt; HKMST -&gt; NEWHKMST</t>
        </is>
      </c>
      <c r="C8" s="22" t="inlineStr">
        <is>
          <t>与 compare_strategies.py 的执行方式一致</t>
        </is>
      </c>
    </row>
    <row r="9">
      <c r="A9" s="22" t="inlineStr">
        <is>
          <t>重复次数</t>
        </is>
      </c>
      <c r="B9" s="22" t="n">
        <v>1</v>
      </c>
      <c r="C9" s="22" t="inlineStr">
        <is>
          <t>运行时间取中位数</t>
        </is>
      </c>
    </row>
    <row r="10">
      <c r="A10" s="22" t="inlineStr">
        <is>
          <t>Concorde seed</t>
        </is>
      </c>
      <c r="B10" s="22" t="n">
        <v>123</v>
      </c>
      <c r="C10" s="22" t="inlineStr">
        <is>
          <t>固定随机种子</t>
        </is>
      </c>
    </row>
    <row r="11">
      <c r="A11" s="22" t="inlineStr">
        <is>
          <t>Concorde</t>
        </is>
      </c>
      <c r="B11" s="22" t="inlineStr">
        <is>
          <t>/home/wj/code/TSP/concorde/TSP/concorde</t>
        </is>
      </c>
      <c r="C11" s="22" t="inlineStr">
        <is>
          <t>ff9a290ccfd0a933f25a27cfbcac57062d096489c6aac1791318f5b0adeee3c6</t>
        </is>
      </c>
    </row>
    <row r="12">
      <c r="A12" s="22" t="inlineStr">
        <is>
          <t>HKMST</t>
        </is>
      </c>
      <c r="B12" s="22" t="inlineStr">
        <is>
          <t>/home/wj/code/TSP/solver/HKMST/tsp_bb</t>
        </is>
      </c>
      <c r="C12" s="22" t="inlineStr">
        <is>
          <t>13ddc36c66bdbce2ad430db95ce30dc31153c682258d1d830d117660a0d796d5</t>
        </is>
      </c>
    </row>
    <row r="13">
      <c r="A13" s="22" t="inlineStr">
        <is>
          <t>HKMST参数</t>
        </is>
      </c>
      <c r="B13" s="22" t="inlineStr">
        <is>
          <t>(无额外参数)</t>
        </is>
      </c>
      <c r="C13" s="22" t="inlineStr"/>
    </row>
    <row r="14">
      <c r="A14" s="22" t="inlineStr">
        <is>
          <t>NEWHKMST</t>
        </is>
      </c>
      <c r="B14" s="22" t="inlineStr">
        <is>
          <t>/home/wj/code/TSP/solver/NEWHKMST/tsp_bb</t>
        </is>
      </c>
      <c r="C14" s="22" t="inlineStr">
        <is>
          <t>3a8bf08fbc455c803c427ad556f9453c623444059f031a7e4dd734759d0d80e4</t>
        </is>
      </c>
    </row>
    <row r="15">
      <c r="A15" s="22" t="inlineStr">
        <is>
          <t>NEWHKMST参数</t>
        </is>
      </c>
      <c r="B15" s="22" t="inlineStr">
        <is>
          <t>--hk-ascent polyak --hk-potential-update subtree-adaptive --hk-update-depth 2 --hk-update-gap-ratio 0.02 --hk-update-iterations 16 --hk-update-budget 5000</t>
        </is>
      </c>
      <c r="C15" s="22" t="inlineStr">
        <is>
          <t>持久子树势更新策略</t>
        </is>
      </c>
    </row>
    <row r="16">
      <c r="A16" s="22" t="inlineStr">
        <is>
          <t>缓存文件</t>
        </is>
      </c>
      <c r="B16" s="22" t="inlineStr">
        <is>
          <t>/home/wj/code/TSP/docs/hkmst-newhkmst-comparison-cache.json</t>
        </is>
      </c>
      <c r="C16" s="22" t="inlineStr">
        <is>
          <t>二进制或参数变化时自动失效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2026-08-07T08:16:29Z</dcterms:created>
  <dcterms:modified xmlns:dcterms="http://purl.org/dc/terms/" xmlns:xsi="http://www.w3.org/2001/XMLSchema-instance" xsi:type="dcterms:W3CDTF">2026-08-07T08:16:29Z</dcterms:modified>
</cp:coreProperties>
</file>